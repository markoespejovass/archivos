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laude\Santander\APIs\codigo\"/>
    </mc:Choice>
  </mc:AlternateContent>
  <xr:revisionPtr revIDLastSave="0" documentId="13_ncr:1_{318E490D-26F2-42DC-ACFD-87B305BA4403}" xr6:coauthVersionLast="47" xr6:coauthVersionMax="47" xr10:uidLastSave="{00000000-0000-0000-0000-000000000000}"/>
  <bookViews>
    <workbookView xWindow="3465" yWindow="3465" windowWidth="21600" windowHeight="11295" xr2:uid="{00000000-000D-0000-FFFF-FFFF00000000}"/>
  </bookViews>
  <sheets>
    <sheet name="Resumen_Ejecutivo" sheetId="1" r:id="rId1"/>
    <sheet name="Hallazgos" sheetId="2" r:id="rId2"/>
    <sheet name="Seguimiento" sheetId="3" r:id="rId3"/>
    <sheet name="Dashboard" sheetId="4" r:id="rId4"/>
    <sheet name="Top10_Riesgos" sheetId="5" r:id="rId5"/>
    <sheet name="Plan_Remediacion" sheetId="6" r:id="rId6"/>
    <sheet name="Integraciones" sheetId="7" r:id="rId7"/>
    <sheet name="Proyectos" sheetId="8" r:id="rId8"/>
  </sheets>
  <definedNames>
    <definedName name="_xlnm._FilterDatabase" localSheetId="1" hidden="1">Hallazgos!$A$1:$L$56</definedName>
    <definedName name="_xlnm._FilterDatabase" localSheetId="2" hidden="1">Seguimiento!$A$11:$J$66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K10" i="4"/>
  <c r="C10" i="4"/>
  <c r="K9" i="4"/>
  <c r="G9" i="4"/>
  <c r="C9" i="4"/>
  <c r="K8" i="4"/>
  <c r="G8" i="4"/>
  <c r="C8" i="4"/>
  <c r="K7" i="4"/>
  <c r="G7" i="4"/>
  <c r="C7" i="4"/>
  <c r="K6" i="4"/>
  <c r="G6" i="4"/>
  <c r="C6" i="4"/>
  <c r="C11" i="4" s="1"/>
  <c r="F10" i="1"/>
  <c r="G10" i="1" s="1"/>
  <c r="E10" i="1"/>
  <c r="D10" i="1"/>
  <c r="C10" i="1"/>
  <c r="B10" i="1"/>
  <c r="D7" i="4" l="1"/>
  <c r="D8" i="4"/>
  <c r="D6" i="4"/>
  <c r="D11" i="4" s="1"/>
  <c r="D10" i="4"/>
  <c r="D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Security Code Review v1.5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El gateway devuelve 401 antes de llegar al pod. El proveedor concluirá «autenticación correcta» sobre una capa que no existe</t>
        </r>
      </text>
    </comment>
    <comment ref="D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Token válido + identificador ajeno. El hallazgo más probable y más grave del EH</t>
        </r>
      </text>
    </comment>
    <comment ref="D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Requiere acceso al repositorio</t>
        </r>
      </text>
    </comment>
    <comment ref="D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Es tráfico saliente: no observable desde el consumidor</t>
        </r>
      </text>
    </comment>
    <comment ref="D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classify_email acepta cualquier OTP presente en la tabla</t>
        </r>
      </text>
    </comment>
    <comment ref="D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No verá la petición al proveedor de firma</t>
        </r>
      </text>
    </comment>
    <comment ref="D8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Tráfico saliente hacia GSNET</t>
        </r>
      </text>
    </comment>
    <comment ref="D1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El complaintBookId constante lo delata comparando dos respuestas</t>
        </r>
      </text>
    </comment>
    <comment ref="D1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Requiere acceso al agregador de logs</t>
        </r>
      </text>
    </comment>
    <comment ref="D1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Una petición devuelve los nombres de fichero de todos los documentos</t>
        </r>
      </text>
    </comment>
    <comment ref="D1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Subida de fichero con mimeType declarado por el cliente y clave S3 sin sanear</t>
        </r>
      </text>
    </comment>
    <comment ref="D1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Solo indirectamente, bajo carga o provocando lentitud del proveedor</t>
        </r>
      </text>
    </comment>
    <comment ref="D1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Requiere provocar un fallo del proveedor y observar su lado</t>
        </r>
      </text>
    </comment>
    <comment ref="D1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Peticiones malformadas devuelven el cuerpo de error de SKY íntegro</t>
        </r>
      </text>
    </comment>
    <comment ref="D1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Sin límite en 10 de los 11 servicios</t>
        </r>
      </text>
    </comment>
    <comment ref="D20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base64 de cientos de MB decodificado en memoria</t>
        </r>
      </text>
    </comment>
    <comment ref="D2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Depende de que el gateway publique download_document_intern</t>
        </r>
      </text>
    </comment>
    <comment ref="D2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Depende de si el gateway publica /actuator; con show-details: ALWAYS si lo hace</t>
        </r>
      </text>
    </comment>
    <comment ref="D23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Es un token saliente hacia SKY/Zytrust</t>
        </r>
      </text>
    </comment>
    <comment ref="D2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Criptografía del payload de salida</t>
        </r>
      </text>
    </comment>
    <comment ref="D25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Depende de si el gateway publica /swagger-ui y /v3/api-docs</t>
        </r>
      </text>
    </comment>
    <comment ref="D26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Manipular X-Forwarded-* es prueba estándar de cualquier proveedor</t>
        </r>
      </text>
    </comment>
    <comment ref="D2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Cinco entradas válidas según contrato que producen 500</t>
        </r>
      </text>
    </comment>
    <comment ref="D28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Configuración de base de datos</t>
        </r>
      </text>
    </comment>
    <comment ref="D2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500 sistemático — solo si el gateway publica el PATCH, que ya no está en el contrato</t>
        </r>
      </text>
    </comment>
    <comment ref="D3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Modelo interno de la tabla DynamoDB</t>
        </r>
      </text>
    </comment>
    <comment ref="D3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CONTRATO_CLIENTE aparece al fuzzear con diccionarios</t>
        </r>
      </text>
    </comment>
    <comment ref="D3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Token saliente hacia Contáctanos</t>
        </r>
      </text>
    </comment>
    <comment ref="D33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Requiere acceso al build</t>
        </r>
      </text>
    </comment>
    <comment ref="D34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Control de flujo interno, inactivo en runtime</t>
        </r>
      </text>
    </comment>
    <comment ref="D35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El XML es de salida hacia Celmedia, no de entrada</t>
        </r>
      </text>
    </comment>
    <comment ref="D36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El replay de una operación sensible es prueba estándar</t>
        </r>
      </text>
    </comment>
    <comment ref="D3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Se puede inyectar, pero el efecto solo se observa en el agregador de logs</t>
        </r>
      </text>
    </comment>
    <comment ref="D38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Scan completo de DynamoDB por petición</t>
        </r>
      </text>
    </comment>
    <comment ref="D39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Dos perfiles opuestos devuelven el mismo veredicto</t>
        </r>
      </text>
    </comment>
    <comment ref="D40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Código muerto</t>
        </r>
      </text>
    </comment>
    <comment ref="D4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Requiere acceso al repositorio</t>
        </r>
      </text>
    </comment>
    <comment ref="D42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Solo si el alcance incluye contenedor comprometido</t>
        </r>
      </text>
    </comment>
    <comment ref="D43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Las cabeceras de respuesta son lo primero que revisa cualquier escáner</t>
        </r>
      </text>
    </comment>
    <comment ref="D44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Fichero del classpath, no expuesto</t>
        </r>
      </text>
    </comment>
    <comment ref="D45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Muy reducido tras el recorte de contratos: 43 declaradas / 38 implementadas</t>
        </r>
      </text>
    </comment>
    <comment ref="D46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404 frente a 200-vacío permite enumerar identificadores</t>
        </r>
      </text>
    </comment>
    <comment ref="D4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El campo name de la respuesta devuelve el DNI del titular</t>
        </r>
      </text>
    </comment>
    <comment ref="D48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DELETE sin titularidad, 204 en ambos casos</t>
        </r>
      </text>
    </comment>
    <comment ref="D49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El path variable determina el verbo HTTP saliente</t>
        </r>
      </text>
    </comment>
    <comment ref="D50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Modelo interno; su valor es evitar una corrección mal dirigida de SEC-002</t>
        </r>
      </text>
    </comment>
    <comment ref="D51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Cinco endpoints devuelven 501</t>
        </r>
      </text>
    </comment>
    <comment ref="D52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Y hay riesgo de falso aprobado: el 429 en send_email puede leerse como control de fuerza bruta que no existe en classify_email</t>
        </r>
      </text>
    </comment>
    <comment ref="D53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Requiere acceso a la cuenta AWS o a un contenedor comprometido</t>
        </r>
      </text>
    </comment>
    <comment ref="D54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Requiere acceso a los manifiestos de despliegue</t>
        </r>
      </text>
    </comment>
    <comment ref="D55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Solo indirectamente, si alguna variable falta en el despliegue</t>
        </r>
      </text>
    </comment>
    <comment ref="D56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No observable, pero condiciona cómo debe leerse el resultado del EH (§1.2)</t>
        </r>
      </text>
    </comment>
  </commentList>
</comments>
</file>

<file path=xl/sharedStrings.xml><?xml version="1.0" encoding="utf-8"?>
<sst xmlns="http://schemas.openxmlformats.org/spreadsheetml/2006/main" count="1376" uniqueCount="649">
  <si>
    <t>Auditoria de Seguridad de Codigo</t>
  </si>
  <si>
    <t>Alcance</t>
  </si>
  <si>
    <t>E:\claude\Santander\APIs\codigo</t>
  </si>
  <si>
    <t>Fecha</t>
  </si>
  <si>
    <t>2026-08-31 (re-verificación completa) - Auditoría inicial: 2026-08-20</t>
  </si>
  <si>
    <t>Informe fuente</t>
  </si>
  <si>
    <t>SECURITY_CODE_REVIEW.md</t>
  </si>
  <si>
    <t>Cifras clave</t>
  </si>
  <si>
    <t>Hallazgos</t>
  </si>
  <si>
    <t>Criticos</t>
  </si>
  <si>
    <t>Altos</t>
  </si>
  <si>
    <t>Inmediato (P0)</t>
  </si>
  <si>
    <t>Cerrados</t>
  </si>
  <si>
    <t>% avance</t>
  </si>
  <si>
    <t>Conclusion</t>
  </si>
  <si>
    <t xml:space="preserve">El perímetro descrito en el diagrama es sólido y reduce de forma significativa la exposición a Internet. El problema es que toda la seguridad reside en él: los microservicios operan con confianza implícita total en lo que atraviesa el API Gateway y en lo que llega por la red interna. Esto configura un modelo de "cáscara dura, interior blando" en el que un único fallo perimetral -o cualquier movimiento lateral dentro del VPC- expone íntegramente datos financieros, crediticios, biométricos y de identidad, sin capa de contención ni pista de auditoría atribuible.
Con independencia del perímetro, hay dos clases de riesgo que ningún control de borde puede mitigar y que requieren cambios en el código:
1. BOLA (SEC-002). Un usuario legítimo de la app móvil, con un token de Cognito perfectamente válido, puede solicitar los datos de cualquier otro cliente cambiando un identificador. Imperva, el WAF, Cognito y el API Gateway lo dejarán pasar porque la petición está correctamente autenticada. Este es el riesgo número uno del conjunto.
2. Bypass del segundo factor (SEC-005). La validación de OTP no vincula el código con el usuario, no limita intentos y acepta cualquier respuesta no nula del proveedor.
Se identificaron 55 hallazgos vivos: 7 Critical, 18 High, 21 Medium, 6 Low y 3 Info. Respecto a la línea base del 24-ago (52 hallazgos), 2 están resueltos, 9 han mejorado (4 bajan de severidad y 5 reducen alcance), 2 empeoran y 5 son nuevos. No hay ninguna regresión. El detalle de la comparación está en §23.
Lectura de la tendencia. El equipo ha trabajado, y se nota: los secretos salieron mayoritariamente del árbol de fuentes, desaparecieron los datos personales de data.sql, se añadieron timeouts, apareció un rate limiter y los contratos se recortaron a lo realmente implementado. Pero </t>
  </si>
  <si>
    <t>ID</t>
  </si>
  <si>
    <t>Severidad</t>
  </si>
  <si>
    <t>Prioridad</t>
  </si>
  <si>
    <t>EH</t>
  </si>
  <si>
    <t>Caso EH / OWASP</t>
  </si>
  <si>
    <t>Confianza</t>
  </si>
  <si>
    <t>Hallazgo</t>
  </si>
  <si>
    <t>Proyecto</t>
  </si>
  <si>
    <t>Componente</t>
  </si>
  <si>
    <t>CWE</t>
  </si>
  <si>
    <t>Riesgo</t>
  </si>
  <si>
    <t>Correccion sugerida</t>
  </si>
  <si>
    <t>SEC-001</t>
  </si>
  <si>
    <t>Critical</t>
  </si>
  <si>
    <t>P0</t>
  </si>
  <si>
    <t>ENMASCARADO</t>
  </si>
  <si>
    <t>§1.1 · API2</t>
  </si>
  <si>
    <t>CONFIRMADO</t>
  </si>
  <si>
    <t>Autenticación y autorización desactivadas en todas las APIs</t>
  </si>
  <si>
    <t>Todos (11)</t>
  </si>
  <si>
    <t>SecurityConfig + application.yml</t>
  </si>
  <si>
    <t>CWE-306</t>
  </si>
  <si>
    <t>Sin autenticación en T4/T5</t>
  </si>
  <si>
    <t>oauth2ResourceServer con issuer-uri de Cognito; anyRequest().authenticated(); mTLS o token de servicio en este-oeste</t>
  </si>
  <si>
    <t>SEC-002</t>
  </si>
  <si>
    <t>SÍ</t>
  </si>
  <si>
    <t>CP-01 · API1</t>
  </si>
  <si>
    <t>BOLA/IDOR sistémico sobre identificadores de negocio</t>
  </si>
  <si>
    <t>8 proyectos</t>
  </si>
  <si>
    <t>Delegates / UseCases</t>
  </si>
  <si>
    <t>CWE-639</t>
  </si>
  <si>
    <t>BOLA: datos de cualquier cliente</t>
  </si>
  <si>
    <t>AuthorizationService.assertCanAccessCustomer(jwt, id) antes de cada acceso; scope explícito para acceso masivo</t>
  </si>
  <si>
    <t>SEC-003</t>
  </si>
  <si>
    <t>High</t>
  </si>
  <si>
    <t>P1</t>
  </si>
  <si>
    <t>NO</t>
  </si>
  <si>
    <t>—</t>
  </si>
  <si>
    <t>Secretos de proveedores y BD versionados en el repositorio</t>
  </si>
  <si>
    <t>6 proyectos</t>
  </si>
  <si>
    <t>application-*.yml, Constant.java</t>
  </si>
  <si>
    <t>CWE-798</t>
  </si>
  <si>
    <t>Compromiso de proveedores y BD</t>
  </si>
  <si>
    <t>Rotar los 18; eliminar defaults; migrar a Secrets Manager; gitleaks en CI</t>
  </si>
  <si>
    <t>SEC-004</t>
  </si>
  <si>
    <t>Validación de certificado TLS deshabilitada (trust-all)</t>
  </si>
  <si>
    <t>7 proyectos</t>
  </si>
  <si>
    <t>WebClientConfig / RestTemplateConfig</t>
  </si>
  <si>
    <t>CWE-295</t>
  </si>
  <si>
    <t>MITM en salida a terceros</t>
  </si>
  <si>
    <t>Truststore con CA de Netskope; eliminar handlerConfigurator vacío</t>
  </si>
  <si>
    <t>SEC-005</t>
  </si>
  <si>
    <t>CP-06, CP-16 · API2, API6</t>
  </si>
  <si>
    <t>Bypass de OTP: sin vínculo a usuario, sin límite, OTP en path y en logs</t>
  </si>
  <si>
    <t>beemailboxes</t>
  </si>
  <si>
    <t>OTPServiceAdapter</t>
  </si>
  <si>
    <t>CWE-304, CWE-307</t>
  </si>
  <si>
    <t>Bypass de 2FA</t>
  </si>
  <si>
    <t>Clave = transactionId; validar sujeto; contador de intentos; TTL; OTP fuera del path y del log</t>
  </si>
  <si>
    <t>SEC-006</t>
  </si>
  <si>
    <t>Callback de firma digital a webhook.site y token de callback literal jwt</t>
  </si>
  <si>
    <t>bedigitsignature</t>
  </si>
  <si>
    <t>Constant, DocumentProcessService</t>
  </si>
  <si>
    <t>CWE-200, CWE-306</t>
  </si>
  <si>
    <t>Fuga a tercero; callback sin autenticación</t>
  </si>
  <si>
    <t>callbackUrl por entorno; construir el header sin marcador; publicar endpoint propio con validación de JWT</t>
  </si>
  <si>
    <t>SEC-007</t>
  </si>
  <si>
    <t>Credenciales, tokens y clave AES escritos en logs</t>
  </si>
  <si>
    <t>4 proyectos</t>
  </si>
  <si>
    <t>TokenService, AesEncryptionService</t>
  </si>
  <si>
    <t>CWE-532</t>
  </si>
  <si>
    <t>Credenciales en el agregador</t>
  </si>
  <si>
    <t>@ToString.Exclude; registrar metadatos, no objetos; masking en el appender</t>
  </si>
  <si>
    <t>SEC-009</t>
  </si>
  <si>
    <t>Medium</t>
  </si>
  <si>
    <t>P2</t>
  </si>
  <si>
    <t>Credenciales enviadas por HTTP en claro a Contáctanos (red interna GSNET)</t>
  </si>
  <si>
    <t>beclaims</t>
  </si>
  <si>
    <t>application-local.yml + TokenService</t>
  </si>
  <si>
    <t>CWE-319</t>
  </si>
  <si>
    <t>Credenciales en claro en red interna</t>
  </si>
  <si>
    <t>Migrar a HTTPS; validar esquema en el arranque; rotar credenciales</t>
  </si>
  <si>
    <t>SEC-010</t>
  </si>
  <si>
    <t>CP-11 · API8</t>
  </si>
  <si>
    <t>Fail-open: se devuelven datos ficticios cuando falla el proveedor</t>
  </si>
  <si>
    <t>ClaimsAdapter</t>
  </si>
  <si>
    <t>CWE-754</t>
  </si>
  <si>
    <t>Reclamos perdidos con confirmación falsa</t>
  </si>
  <si>
    <t>Eliminar mocks; propagar 503; store-and-forward con reintento asíncrono</t>
  </si>
  <si>
    <t>SEC-011</t>
  </si>
  <si>
    <t>Documento PDF completo en base64 escrito al log</t>
  </si>
  <si>
    <t>DocumentClient:80</t>
  </si>
  <si>
    <t>Exfiltración vía logs</t>
  </si>
  <si>
    <t>log.debug con documentId y tamaño</t>
  </si>
  <si>
    <t>SEC-012</t>
  </si>
  <si>
    <t>Tokens biométricos y datos de DNI escritos al log</t>
  </si>
  <si>
    <t>beidentbiometric</t>
  </si>
  <si>
    <t>FacephiAdapter:84,124</t>
  </si>
  <si>
    <t>Biometría en logs</t>
  </si>
  <si>
    <t>@ToString.Exclude en los DTO; registrar solo trackingId</t>
  </si>
  <si>
    <t>SEC-013</t>
  </si>
  <si>
    <t>wiretap(true): tráfico HTTP completo (incl. Authorization) al log</t>
  </si>
  <si>
    <t>WebClientConfig</t>
  </si>
  <si>
    <t>Volcado de credenciales al elevar el log</t>
  </si>
  <si>
    <t>Condicionar por propiedad; AdvancedByteBufFormat.SIMPLE; fijar la categoría a WARN</t>
  </si>
  <si>
    <t>SEC-014</t>
  </si>
  <si>
    <t>CP-08, CP-03 · API4</t>
  </si>
  <si>
    <t>GET /documents/{id}/versions ignora el id y devuelve un scan completo</t>
  </si>
  <si>
    <t>bedocmanagement</t>
  </si>
  <si>
    <t>DocumentManagementAdapter:187-191</t>
  </si>
  <si>
    <t>CWE-200</t>
  </si>
  <si>
    <t>Enumeración del repositorio + DoS</t>
  </si>
  <si>
    <t>queryByPartitionKey; eliminar findAll() del repositorio base</t>
  </si>
  <si>
    <t>SEC-015</t>
  </si>
  <si>
    <t>CP-04 · API3, API4</t>
  </si>
  <si>
    <t>ALTA CONFIANZA</t>
  </si>
  <si>
    <t>Clave S3 y Content-Type construidos con datos del cliente sin sanear</t>
  </si>
  <si>
    <t>DocumentManagementAdapter:115-129</t>
  </si>
  <si>
    <t>CWE-99, CWE-434</t>
  </si>
  <si>
    <t>Sobrescritura de documentos; XSS almacenado</t>
  </si>
  <si>
    <t>Clave derivada de hash + UUID; MIME detectado con Tika; contentDisposition: attachment; versionado del bucket</t>
  </si>
  <si>
    <t>SEC-016</t>
  </si>
  <si>
    <t>PROBABLE</t>
  </si>
  <si>
    <t>CP-08 · API4</t>
  </si>
  <si>
    <t>Integraciones salientes sin timeout</t>
  </si>
  <si>
    <t>3 proyectos</t>
  </si>
  <si>
    <t>WebClientConfig, RestTemplateConfig</t>
  </si>
  <si>
    <t>CWE-1088</t>
  </si>
  <si>
    <t>Agotamiento del pool de hilos</t>
  </si>
  <si>
    <t>CONNECT_TIMEOUT_MILLIS + responseTimeout + Read/WriteTimeoutHandler; RequestConfig en Apache</t>
  </si>
  <si>
    <t>SEC-017</t>
  </si>
  <si>
    <t>Reintentos sobre operaciones no idempotentes sin clave de idempotencia</t>
  </si>
  <si>
    <t>becustombeprogrm</t>
  </si>
  <si>
    <t>SKYServiceAdapter:94</t>
  </si>
  <si>
    <t>CWE-837</t>
  </si>
  <si>
    <t>Altas duplicadas</t>
  </si>
  <si>
    <t>Idempotency-Key; o restringir el retry a ConnectException</t>
  </si>
  <si>
    <t>SEC-018</t>
  </si>
  <si>
    <t>CP-13 · API10</t>
  </si>
  <si>
    <t>Cuerpo de error del proveedor propagado al consumidor</t>
  </si>
  <si>
    <t>becustombeprogrm, bedigitsignature</t>
  </si>
  <si>
    <t>SKYServiceAdapter, Util.handleError</t>
  </si>
  <si>
    <t>CWE-209</t>
  </si>
  <si>
    <t>Divulgación de infraestructura de terceros</t>
  </si>
  <si>
    <t>Detalle al log con correlationId; al consumidor, código TL* + referencia</t>
  </si>
  <si>
    <t>SEC-019</t>
  </si>
  <si>
    <t>Sin rate limiting: amplificación de recursos y abuso de envío de correo</t>
  </si>
  <si>
    <t>Todos</t>
  </si>
  <si>
    <t>-</t>
  </si>
  <si>
    <t>CWE-770</t>
  </si>
  <si>
    <t>Agotamiento de recursos y de cuota</t>
  </si>
  <si>
    <t>maxItems en contratos; RateLimiter por sujeto; usage plans en el gateway; circuit breakers</t>
  </si>
  <si>
    <t>SEC-020</t>
  </si>
  <si>
    <t>CP-04, CP-08 · API4</t>
  </si>
  <si>
    <t>Payloads base64 sin límite de tamaño ni validación</t>
  </si>
  <si>
    <t>Contratos OpenAPI + adapters</t>
  </si>
  <si>
    <t>CWE-400</t>
  </si>
  <si>
    <t>OOM y reinicio de pods</t>
  </si>
  <si>
    <t>maxLength/maxItems/pattern en el contrato; validación de tamaño antes de decodificar</t>
  </si>
  <si>
    <t>SEC-021</t>
  </si>
  <si>
    <t>CP-07 · API5</t>
  </si>
  <si>
    <t>Endpoint download_document_intern público y confianza transitiva</t>
  </si>
  <si>
    <t>bedocmanagement &lt;- bedigitsignature</t>
  </si>
  <si>
    <t>openapi.yaml, WebClientConfig</t>
  </si>
  <si>
    <t>CWE-668</t>
  </si>
  <si>
    <t>Descarga arbitraria por vía lateral</t>
  </si>
  <si>
    <t>Contrato interno con scope propio; token de servicio o mTLS; NetworkPolicy</t>
  </si>
  <si>
    <t>SEC-022</t>
  </si>
  <si>
    <t>API8</t>
  </si>
  <si>
    <t>Actuator expuesto sin autenticación con show-details: ALWAYS</t>
  </si>
  <si>
    <t>application.yml + SecurityConfig</t>
  </si>
  <si>
    <t>Reconocimiento; loggers habilita SEC-013</t>
  </si>
  <si>
    <t>exposure.include explícito; when-authorized; management.server.port separado</t>
  </si>
  <si>
    <t>SEC-023</t>
  </si>
  <si>
    <t>JWT M2M sin iss/aud/jti, clave AES reutilizada como clave JWT, expiración de 20 s</t>
  </si>
  <si>
    <t>JwtUtil, SkyTokenService</t>
  </si>
  <si>
    <t>CWE-1270, CWE-613</t>
  </si>
  <si>
    <t>Token reutilizable; radio de compromiso ampliado</t>
  </si>
  <si>
    <t>Claims registrados completos; claves separadas y verificadas en el arranque; migrar a jjwt 0.12</t>
  </si>
  <si>
    <t>SEC-024</t>
  </si>
  <si>
    <t>AES sin cifrado autenticado y transformación tomada de configuración</t>
  </si>
  <si>
    <t>AesEncryptionService:30-46</t>
  </si>
  <si>
    <t>CWE-353</t>
  </si>
  <si>
    <t>Manipulación de texto cifrado; padding oracle</t>
  </si>
  <si>
    <t>AES/GCM con transformación fija; o encrypt-then-MAC</t>
  </si>
  <si>
    <t>SEC-025</t>
  </si>
  <si>
    <t>Low</t>
  </si>
  <si>
    <t>P3</t>
  </si>
  <si>
    <t>Swagger UI y /v3/api-docs habilitados en todos los perfiles (no publicados en el gateway)</t>
  </si>
  <si>
    <t>application.yml, SecurityConfig</t>
  </si>
  <si>
    <t>Contrato completo por vía lateral</t>
  </si>
  <si>
    <t>springdoc.api-docs.enabled: false en pro/pre/cert</t>
  </si>
  <si>
    <t>SEC-027</t>
  </si>
  <si>
    <t>REQUIERE VALIDACIÓN</t>
  </si>
  <si>
    <t>forward-headers-strategy: framework sin proxy de confianza verificado</t>
  </si>
  <si>
    <t>application.yml</t>
  </si>
  <si>
    <t>CWE-348</t>
  </si>
  <si>
    <t>IP de origen falsificable en logs</t>
  </si>
  <si>
    <t>Verificar normalización en Imperva/APIGW; ForwardedHeaderFilter con proxies de confianza</t>
  </si>
  <si>
    <t>SEC-028</t>
  </si>
  <si>
    <t>CP-09 · API8</t>
  </si>
  <si>
    <t>Excepciones no mapeadas producen 500 con posible detalle interno</t>
  </si>
  <si>
    <t>5 proyectos</t>
  </si>
  <si>
    <t>Varios</t>
  </si>
  <si>
    <t>CWE-248</t>
  </si>
  <si>
    <t>500 con posible detalle interno</t>
  </si>
  <si>
    <t>orElseThrow con código TL*; handler Exception.class con correlationId</t>
  </si>
  <si>
    <t>SEC-029</t>
  </si>
  <si>
    <t>ddl-auto: update y sql.init.mode: always en producción</t>
  </si>
  <si>
    <t>beproducoffering</t>
  </si>
  <si>
    <t>application-pro.yml</t>
  </si>
  <si>
    <t>CWE-16</t>
  </si>
  <si>
    <t>Alteración de esquema en producción</t>
  </si>
  <si>
    <t>validate + never; migraciones con Liquibase/Flyway</t>
  </si>
  <si>
    <t>SEC-030</t>
  </si>
  <si>
    <t>CP-17 · API8</t>
  </si>
  <si>
    <t>patchConsent usa putIfAbsent: la actualización nunca se aplica</t>
  </si>
  <si>
    <t>bedatacomanagment</t>
  </si>
  <si>
    <t>DataConsentManagementAdapter:79-96</t>
  </si>
  <si>
    <t>CWE-670</t>
  </si>
  <si>
    <t>La revocación de consentimiento nunca se aplica</t>
  </si>
  <si>
    <t>updateItem con ignoreNulls</t>
  </si>
  <si>
    <t>SEC-031</t>
  </si>
  <si>
    <t>JWT almacenado como partition key en DynamoDB</t>
  </si>
  <si>
    <t>Entity.java:29-33</t>
  </si>
  <si>
    <t>CWE-522</t>
  </si>
  <si>
    <t>Token en índices y backups</t>
  </si>
  <si>
    <t>PK = loteId, SK = documentId; almacenar solo jti; TTL</t>
  </si>
  <si>
    <t>SEC-032</t>
  </si>
  <si>
    <t>CP-15 · API8</t>
  </si>
  <si>
    <t>Backdoor de pruebas CONTRATO_CLIENTE devuelve un PDF del classpath</t>
  </si>
  <si>
    <t>DocumentClient:37-46</t>
  </si>
  <si>
    <t>CWE-489</t>
  </si>
  <si>
    <t>Firma de un documento de pruebas</t>
  </si>
  <si>
    <t>Eliminar la rama; stub en tests; retirar test.pdf</t>
  </si>
  <si>
    <t>SEC-033</t>
  </si>
  <si>
    <t>Token cacheado sin expiración ni renovación</t>
  </si>
  <si>
    <t>TokenService:38-43</t>
  </si>
  <si>
    <t>CWE-613</t>
  </si>
  <si>
    <t>Fallo permanente enmascarado por SEC-010</t>
  </si>
  <si>
    <t>CachedToken con expiración, como en becreditrisk</t>
  </si>
  <si>
    <t>SEC-034</t>
  </si>
  <si>
    <t>Deriva de versiones; bedatacomanagment mezcla Netty 4.1.x y 4.2.x</t>
  </si>
  <si>
    <t>pom.xml</t>
  </si>
  <si>
    <t>CWE-1104</t>
  </si>
  <si>
    <t>Incompatibilidad binaria; build fragil</t>
  </si>
  <si>
    <t>Unificar parent en 1.6.0; BOM comun; una sola linea de Netty</t>
  </si>
  <si>
    <t>SEC-035</t>
  </si>
  <si>
    <t>assert usado para control de flujo (inactivo en runtime)</t>
  </si>
  <si>
    <t>JsonTokenProvider:56, XmlTokenProvider:51</t>
  </si>
  <si>
    <t>CWE-617</t>
  </si>
  <si>
    <t>NPE -&gt; 500</t>
  </si>
  <si>
    <t>if (...) throw new BusinessException(...)</t>
  </si>
  <si>
    <t>SEC-036</t>
  </si>
  <si>
    <t>XmlMapper sin endurecimiento explícito frente a DTD/entidades externas</t>
  </si>
  <si>
    <t>XmlApiClient:31</t>
  </si>
  <si>
    <t>CWE-611</t>
  </si>
  <si>
    <t>XXE si cambia el backend</t>
  </si>
  <si>
    <t>XMLInputFactory con DTD y entidades externas deshabilitadas</t>
  </si>
  <si>
    <t>SEC-037</t>
  </si>
  <si>
    <t>CP-06 · API6</t>
  </si>
  <si>
    <t>Sin idempotencia ni anti-replay en operaciones sensibles</t>
  </si>
  <si>
    <t>bedigitsignature, becustombeprogrm, beemailboxes</t>
  </si>
  <si>
    <t>CWE-799</t>
  </si>
  <si>
    <t>Duplicación y replay</t>
  </si>
  <si>
    <t>Cabecera Idempotency-Key requerida; almacén con TTL</t>
  </si>
  <si>
    <t>SEC-038</t>
  </si>
  <si>
    <t>Datos externos escritos al log sin neutralizar (log injection)</t>
  </si>
  <si>
    <t>CWE-117</t>
  </si>
  <si>
    <t>Log injection; PII en logs</t>
  </si>
  <si>
    <t>Confirmar escape de GLUONLOG; sanear CR/LF; enmascarar documentos</t>
  </si>
  <si>
    <t>SEC-039</t>
  </si>
  <si>
    <t>search_documents ejecuta Scan completo de DynamoDB sin paginación</t>
  </si>
  <si>
    <t>BaseDynamoRepository:76-92</t>
  </si>
  <si>
    <t>CWE-405</t>
  </si>
  <si>
    <t>Coste y DoS; BOLA</t>
  </si>
  <si>
    <t>GSI por ownerId + query con limit y paginación</t>
  </si>
  <si>
    <t>SEC-040</t>
  </si>
  <si>
    <t>CP-14 · API10</t>
  </si>
  <si>
    <t>validate_status devuelve siempre "Match Found"</t>
  </si>
  <si>
    <t>bewatchscreening</t>
  </si>
  <si>
    <t>GesintelAdapter:100-115</t>
  </si>
  <si>
    <t>CWE-393</t>
  </si>
  <si>
    <t>Falsos positivos AML sistemáticos</t>
  </si>
  <si>
    <t>Derivar result del código de respuesta</t>
  </si>
  <si>
    <t>SEC-041</t>
  </si>
  <si>
    <t>Generador de códigos con PRNG no criptográfico y espacio reducido (código muerto)</t>
  </si>
  <si>
    <t>UtilsOtp:22-36</t>
  </si>
  <si>
    <t>CWE-338</t>
  </si>
  <si>
    <t>Predecibilidad si se usara</t>
  </si>
  <si>
    <t>Eliminar; si se necesita, SecureRandom sin restricción de paridad</t>
  </si>
  <si>
    <t>SEC-042</t>
  </si>
  <si>
    <t>Endpoints internos y hostnames de BD revelados en el repositorio</t>
  </si>
  <si>
    <t>application-local.yml, test properties</t>
  </si>
  <si>
    <t>Reconocimiento de infraestructura</t>
  </si>
  <si>
    <t>Externalizar sin defaults</t>
  </si>
  <si>
    <t>SEC-043</t>
  </si>
  <si>
    <t>SOLO INTERNO</t>
  </si>
  <si>
    <t>CH-6</t>
  </si>
  <si>
    <t>automountServiceAccountToken: true en despliegue productivo</t>
  </si>
  <si>
    <t>.gluon/cd/pro/values-pro.yaml</t>
  </si>
  <si>
    <t>CWE-250</t>
  </si>
  <si>
    <t>Token de K8s accesible en el pod</t>
  </si>
  <si>
    <t>Revisar permisos del SA; desactivar donde no se use la API de K8s</t>
  </si>
  <si>
    <t>SEC-044</t>
  </si>
  <si>
    <t>CSP definida para API JSON; falta política de cabeceras adecuada al tipo de servicio</t>
  </si>
  <si>
    <t>SecurityConfig</t>
  </si>
  <si>
    <t>CWE-1021</t>
  </si>
  <si>
    <t>Cabeceras de seguridad no alineadas</t>
  </si>
  <si>
    <t>nosniff, HSTS, frameOptions: deny, cache-control</t>
  </si>
  <si>
    <t>SEC-045</t>
  </si>
  <si>
    <t>Info</t>
  </si>
  <si>
    <t>jwks.json con claves públicas presente pero no utilizado</t>
  </si>
  <si>
    <t>src/main/resources/jwks.json</t>
  </si>
  <si>
    <t>Rotura ante rotación si se llegara a usar</t>
  </si>
  <si>
    <t>Eliminar; resolver el JWKS vía issuer-uri</t>
  </si>
  <si>
    <t>SEC-046</t>
  </si>
  <si>
    <t>CP-12 · API9</t>
  </si>
  <si>
    <t>67 operaciones declaradas frente a ~26 implementadas</t>
  </si>
  <si>
    <t>Contratos OpenAPI</t>
  </si>
  <si>
    <t>Superficie documentada enganosa</t>
  </si>
  <si>
    <t>Alinear contratos; publicar en el gateway solo lo implementado</t>
  </si>
  <si>
    <t>SEC-047</t>
  </si>
  <si>
    <t>CP-02 · API1</t>
  </si>
  <si>
    <t>Enumeración diferencial: tres respuestas distintas ante recurso inexistente</t>
  </si>
  <si>
    <t>DocumentManagementAdapter:60-71,177-185,199-216</t>
  </si>
  <si>
    <t>CWE-204</t>
  </si>
  <si>
    <t>Oráculo de existencia; habilita SEC-002/048/049</t>
  </si>
  <si>
    <t>Unificar en 404 tras comprobar titularidad</t>
  </si>
  <si>
    <t>SEC-048</t>
  </si>
  <si>
    <t>CP-03 · API3</t>
  </si>
  <si>
    <t>El DNI del titular se devuelve en el campo name de los metadatos</t>
  </si>
  <si>
    <t>DocumentMapper:111-118</t>
  </si>
  <si>
    <t>CWE-359</t>
  </si>
  <si>
    <t>Exposición de datos personales</t>
  </si>
  <si>
    <t>setName(entity.getFileName()); titular solo al titular y enmascarado</t>
  </si>
  <si>
    <t>SEC-049</t>
  </si>
  <si>
    <t>CP-05 · API1</t>
  </si>
  <si>
    <t>deleteDocument sin verificación de titularidad ni de existencia</t>
  </si>
  <si>
    <t>DocumentManagementAdapter:199-216</t>
  </si>
  <si>
    <t>Destrucción de documentación contractual</t>
  </si>
  <si>
    <t>Comprobar titularidad; auditar; versionado de bucket; borrado lógico</t>
  </si>
  <si>
    <t>SEC-050</t>
  </si>
  <si>
    <t>CP-10 · API8</t>
  </si>
  <si>
    <t>El path variable determina el verbo HTTP hacia el proveedor</t>
  </si>
  <si>
    <t>QurableServiceAdapter:80-92,169-178</t>
  </si>
  <si>
    <t>CWE-470</t>
  </si>
  <si>
    <t>Semántica destructiva gobernada por el consumidor</t>
  </si>
  <si>
    <t>La acción va en el cuerpo como enum; validar y devolver 400</t>
  </si>
  <si>
    <t>SEC-051</t>
  </si>
  <si>
    <t>Campos cruzados en FileEntity: customerId guarda el id del documento</t>
  </si>
  <si>
    <t>FileEntity:18-36, DocumentMapper:71-90</t>
  </si>
  <si>
    <t>CWE-1109</t>
  </si>
  <si>
    <t>Induce a implementar mal el control de SEC-002</t>
  </si>
  <si>
    <t>Renombrar campos manteniendo @DynamoDbAttribute</t>
  </si>
  <si>
    <t>SEC-052</t>
  </si>
  <si>
    <t>Endpoints declarados que responden 501 Not Implemented</t>
  </si>
  <si>
    <t>beknowyocustomer, bedatacomanagment</t>
  </si>
  <si>
    <t>Contratos + delegates</t>
  </si>
  <si>
    <t>CWE-1059</t>
  </si>
  <si>
    <t>Inventario de APIs deficiente (API9)</t>
  </si>
  <si>
    <t>Alinear contratos; publicar solo lo implementado</t>
  </si>
  <si>
    <t>SEC-053</t>
  </si>
  <si>
    <t>CP-16 · API2, API4</t>
  </si>
  <si>
    <t>La limitación de OTP cubre la generación pero no la validación y el registro crece sin cota</t>
  </si>
  <si>
    <t>EmailboxIdInputPort:39-70, RateLimiterConfig:12-22</t>
  </si>
  <si>
    <t>CWE-307, CWE-770</t>
  </si>
  <si>
    <t>Fuerza bruta del 2FA + agotamiento de memoria</t>
  </si>
  <si>
    <t>Limitar también la validación, por operación; acotar el registro con TTL y tamaño máximo; contador de intentos en DynamoDB</t>
  </si>
  <si>
    <t>SEC-054</t>
  </si>
  <si>
    <t>CH-6 · API8</t>
  </si>
  <si>
    <t>Dos servicios asumen el rol IAM de otro servicio</t>
  </si>
  <si>
    <t>application-*.yml role-arn</t>
  </si>
  <si>
    <t>CWE-269, CWE-1268</t>
  </si>
  <si>
    <t>Privilegio excesivo y pérdida de atribución en CloudTrail</t>
  </si>
  <si>
    <t>Usar AWS_IRSA_&lt;propio componente&gt;; crear roles con política mínima; comprobación en CI</t>
  </si>
  <si>
    <t>SEC-055</t>
  </si>
  <si>
    <t>El despliegue productivo lee un secreto del almacén de desarrollo</t>
  </si>
  <si>
    <t>.gluon/cd/pro/values-pro.yaml:37-42</t>
  </si>
  <si>
    <t>CWE-1188, CWE-798</t>
  </si>
  <si>
    <t>Credencial productiva compartida con desarrollo</t>
  </si>
  <si>
    <t>Cambiar a pro-publickey-nexhub, dar de alta la clave con valor nuevo y rotar el de desarrollo</t>
  </si>
  <si>
    <t>SEC-056</t>
  </si>
  <si>
    <t>Valores de relleno como defecto de variables de entorno en perfiles pre y pro</t>
  </si>
  <si>
    <t>application-pro.yml, application.yml</t>
  </si>
  <si>
    <t>CWE-453, CWE-1188</t>
  </si>
  <si>
    <t>Arranque silencioso con configuración falsa en vez de fallo rápido</t>
  </si>
  <si>
    <t>Eliminar el defecto en pre/pro y en ficheros base; @ConfigurationProperties con @Validated + @NotBlank</t>
  </si>
  <si>
    <t>SEC-057</t>
  </si>
  <si>
    <t>El proyecto del Lambda Authorizer existe pero está vacío</t>
  </si>
  <si>
    <t>lmauthorizer</t>
  </si>
  <si>
    <t>src/helloworld.js, deployment.yml</t>
  </si>
  <si>
    <t>Condiciona la calibración de SEC-001</t>
  </si>
  <si>
    <t>Confirmar con Arquitectura si el autorizador del gateway es nativo de Cognito o este componente; archivar o implementar</t>
  </si>
  <si>
    <t>Seguimiento de remediacion</t>
  </si>
  <si>
    <t>Editable</t>
  </si>
  <si>
    <t>Solo las columnas en amarillo: Estado, Responsable, Objetivo, PR, Fecha y Notas.</t>
  </si>
  <si>
    <t>No editar</t>
  </si>
  <si>
    <t>ID, Severidad, Prioridad y Hallazgo alimentan los indicadores del Dashboard.</t>
  </si>
  <si>
    <t>Estados</t>
  </si>
  <si>
    <t>ABIERTO - EN CURSO - EN REVISION - CERRADO - ASUMIDO - NO APLICA</t>
  </si>
  <si>
    <t>Criterio de cierre</t>
  </si>
  <si>
    <t>Para CERRADO hacen falta tres cosas: correccion en el codigo, prueba que falle si el defecto reaparece, y fecha de verificacion. Sin prueba de regresion, se queda en EN REVISION.</t>
  </si>
  <si>
    <t>Ejemplo</t>
  </si>
  <si>
    <t>SEC-011 | High | P1 | ... | CERRADO | J. Perez | Sprint 24 | PR #142 | 2026-09-03 | Sustituido por log.debug; test anadido.</t>
  </si>
  <si>
    <t>Estado</t>
  </si>
  <si>
    <t>Responsable</t>
  </si>
  <si>
    <t>Objetivo</t>
  </si>
  <si>
    <t>PR / commit</t>
  </si>
  <si>
    <t>Fecha verificacion</t>
  </si>
  <si>
    <t>Notas</t>
  </si>
  <si>
    <t>ABIERTO</t>
  </si>
  <si>
    <t>Distribucion de hallazgos</t>
  </si>
  <si>
    <t>Por severidad</t>
  </si>
  <si>
    <t>Por prioridad</t>
  </si>
  <si>
    <t>N</t>
  </si>
  <si>
    <t>% total</t>
  </si>
  <si>
    <t>EN CURSO</t>
  </si>
  <si>
    <t>EN REVISION</t>
  </si>
  <si>
    <t>CERRADO</t>
  </si>
  <si>
    <t>ASUMIDO</t>
  </si>
  <si>
    <t>Total</t>
  </si>
  <si>
    <t>NO APLICA</t>
  </si>
  <si>
    <t>Top 10 riesgos</t>
  </si>
  <si>
    <t>#</t>
  </si>
  <si>
    <t>Prob.</t>
  </si>
  <si>
    <t>Impacto</t>
  </si>
  <si>
    <t>Justificación</t>
  </si>
  <si>
    <t>1</t>
  </si>
  <si>
    <t>Extracción de datos de clientes con un token legítimo (BOLA)</t>
  </si>
  <si>
    <t>SEC-002, SEC-001</t>
  </si>
  <si>
    <t>Alta</t>
  </si>
  <si>
    <t>Crítico</t>
  </si>
  <si>
    <t>Atraviesa el perímetro completo sin condiciones adicionales; CH-1</t>
  </si>
  <si>
    <t>2</t>
  </si>
  <si>
    <t>Bypass del segundo factor</t>
  </si>
  <si>
    <t>SEC-005, SEC-019, SEC-053</t>
  </si>
  <si>
    <t>Tres vías independientes; CH-4. El limitador añadido en v1.5 cubre la generación pero no la validación, que es donde se fuerza el código</t>
  </si>
  <si>
    <t>3</t>
  </si>
  <si>
    <t>Compromiso de proveedores por secretos versionados o compartidos entre entornos</t>
  </si>
  <si>
    <t>SEC-003, SEC-055</t>
  </si>
  <si>
    <t>Las credenciales versionadas siguen comprometidas aunque se hayan externalizado; y el token de Qurable de producción se lee del almacén de desarrollo</t>
  </si>
  <si>
    <t>4</t>
  </si>
  <si>
    <t>Fuga de credenciales y datos sensibles por logs</t>
  </si>
  <si>
    <t>SEC-007, SEC-005, SEC-011, SEC-012, SEC-013</t>
  </si>
  <si>
    <t>Alto</t>
  </si>
  <si>
    <t>Cinco fugas independientes; el acceso al agregador de logs suele ser amplio</t>
  </si>
  <si>
    <t>5</t>
  </si>
  <si>
    <t>Pérdida silenciosa de reclamos con confirmación falsa</t>
  </si>
  <si>
    <t>No requiere atacante; impacto regulatorio directo (INDECOPI)</t>
  </si>
  <si>
    <t>6</t>
  </si>
  <si>
    <t>Acceso lateral sin autenticación entre servicios</t>
  </si>
  <si>
    <t>SEC-001, SEC-021</t>
  </si>
  <si>
    <t>Media</t>
  </si>
  <si>
    <t>Requiere apoyo en el VPC, pero después no hay ningún control; CH-2</t>
  </si>
  <si>
    <t>7</t>
  </si>
  <si>
    <t>MITM en las integraciones con terceros</t>
  </si>
  <si>
    <t>Seis servicios tras la corrección de beemailboxes; datos biométricos y credenciales en tránsito</t>
  </si>
  <si>
    <t>8</t>
  </si>
  <si>
    <t>Salto de silo de datos por identidad IAM compartida</t>
  </si>
  <si>
    <t>SEC-054, SEC-043</t>
  </si>
  <si>
    <t>Un pod comprometido alcanza el bucket documental o la tabla de OTP sin llamar a otro servicio; CH-6. *Sustituye a SEC-008, cerrado el 31-ago; el riesgo residual de aquel hallazgo es la purga pendiente en BD e historial*</t>
  </si>
  <si>
    <t>9</t>
  </si>
  <si>
    <t>Denegación de servicio por ausencia de timeouts y límites</t>
  </si>
  <si>
    <t>SEC-016, SEC-019, SEC-020</t>
  </si>
  <si>
    <t>Provocable con peticiones legítimas; afecta a OTP y correo</t>
  </si>
  <si>
    <t>10</t>
  </si>
  <si>
    <t>Sustitución de documentos contractuales</t>
  </si>
  <si>
    <t>SEC-015, SEC-014, SEC-002</t>
  </si>
  <si>
    <t>Impacto probatorio; CH-3</t>
  </si>
  <si>
    <t>Quick wins y plan</t>
  </si>
  <si>
    <t>Acción</t>
  </si>
  <si>
    <t>Esfuerzo</t>
  </si>
  <si>
    <t>Beneficio</t>
  </si>
  <si>
    <t>Eliminar 6 líneas de log (OTP, password, token, clave AES, JWT, base64)</t>
  </si>
  <si>
    <t>15 min</t>
  </si>
  <si>
    <t>SEC-005, SEC-007, SEC-011</t>
  </si>
  <si>
    <t>Elimina cinco fugas de credenciales y datos</t>
  </si>
  <si>
    <t>Sustituir Constant.CALLBACK por una propiedad de entorno</t>
  </si>
  <si>
    <t>30 min</t>
  </si>
  <si>
    <t>Corta el envío de datos a un tercero público</t>
  </si>
  <si>
    <t>Añadir @ToString.Exclude a 8 campos sensibles en DTO</t>
  </si>
  <si>
    <t>SEC-007, SEC-012</t>
  </si>
  <si>
    <t>Cierra las fugas por toString()</t>
  </si>
  <si>
    <t>Eliminar .wiretap(true) en 6 ficheros</t>
  </si>
  <si>
    <t>20 min</t>
  </si>
  <si>
    <t>Elimina el riesgo latente de volcado completo</t>
  </si>
  <si>
    <t>Cambiar show-details: ALWAYS por when-authorized y fijar exposure.include</t>
  </si>
  <si>
    <t>Reduce el reconocimiento de infraestructura</t>
  </si>
  <si>
    <t>springdoc.api-docs.enabled: false en los perfiles pro/pre/cert</t>
  </si>
  <si>
    <t>Retira el contrato del plano lateral</t>
  </si>
  <si>
    <t>Añadir timeouts a los 4 clientes que no los tienen</t>
  </si>
  <si>
    <t>1 h</t>
  </si>
  <si>
    <t>Elimina el DoS por agotamiento de hilos</t>
  </si>
  <si>
    <t>Corregir getDocumentVersion para consultar por clave</t>
  </si>
  <si>
    <t>Cierra la enumeración del repositorio documental</t>
  </si>
  <si>
    <t>Sustituir putIfAbsent por updateItem en patchConsent</t>
  </si>
  <si>
    <t>Hace funcionar la revocación de consentimientos</t>
  </si>
  <si>
    <t>Eliminar la rama CONTRATO_CLIENTE y test.pdf</t>
  </si>
  <si>
    <t>Retira código de pruebas de la ruta productiva</t>
  </si>
  <si>
    <t>11</t>
  </si>
  <si>
    <t>Sustituir los dos assert por comprobaciones explícitas</t>
  </si>
  <si>
    <t>Elimina dos NPE en el flujo de OTP</t>
  </si>
  <si>
    <t>12</t>
  </si>
  <si>
    <t>ddl-auto: validate y sql.init.mode: never en beproducoffering</t>
  </si>
  <si>
    <t>10 min</t>
  </si>
  <si>
    <t>Impide cambios de esquema no controlados</t>
  </si>
  <si>
    <t>13</t>
  </si>
  <si>
    <t>Eliminar UtilsOtp (código muerto)</t>
  </si>
  <si>
    <t>Reduce superficie y evita su uso futuro</t>
  </si>
  <si>
    <t>14</t>
  </si>
  <si>
    <t>Añadir maxItems: 10 al array de documentos de firma</t>
  </si>
  <si>
    <t>SEC-019, SEC-020</t>
  </si>
  <si>
    <t>Corta la amplificación 1-&gt;2N</t>
  </si>
  <si>
    <t>15</t>
  </si>
  <si>
    <t>Devolver fileName en vez de name en los metadatos</t>
  </si>
  <si>
    <t>Deja de publicar el DNI del titular</t>
  </si>
  <si>
    <t>16</t>
  </si>
  <si>
    <t>Unificar en 404 la respuesta ante documento inexistente</t>
  </si>
  <si>
    <t>Cierra el oráculo de enumeración</t>
  </si>
  <si>
    <t>Matriz de integraciones</t>
  </si>
  <si>
    <t>API</t>
  </si>
  <si>
    <t>Consume</t>
  </si>
  <si>
    <t>Autenticación</t>
  </si>
  <si>
    <t>TLS</t>
  </si>
  <si>
    <t>Validación cert.</t>
  </si>
  <si>
    <t>Token</t>
  </si>
  <si>
    <t>Timeout</t>
  </si>
  <si>
    <t>Retry</t>
  </si>
  <si>
    <t>Contáctanos (GSNET)</t>
  </si>
  <si>
    <t>Usuario/contraseña en JSON</t>
  </si>
  <si>
    <t>HTTP</t>
  </si>
  <si>
    <t>n/a</t>
  </si>
  <si>
    <t>Bearer propietario, sin expiración (SEC-033)</t>
  </si>
  <si>
    <t>5000 ms</t>
  </si>
  <si>
    <t>No</t>
  </si>
  <si>
    <t>CRÍTICO</t>
  </si>
  <si>
    <t>becreditrisk</t>
  </si>
  <si>
    <t>Modellica / DataView360</t>
  </si>
  <si>
    <t>OAuth2 client_credentials</t>
  </si>
  <si>
    <t>HTTPS</t>
  </si>
  <si>
    <t>Desactivada</t>
  </si>
  <si>
    <t>Bearer con expiración correcta; loggeado (SEC-007)</t>
  </si>
  <si>
    <t>SKY Airline</t>
  </si>
  <si>
    <t>JWT HS256 propio + Ocp-Apim-Subscription-Key</t>
  </si>
  <si>
    <t>Sin iss/aud/jti; clave = clave AES (SEC-023)</t>
  </si>
  <si>
    <t>Ninguno</t>
  </si>
  <si>
    <t>3 intentos sobre POST</t>
  </si>
  <si>
    <t>Qurable</t>
  </si>
  <si>
    <t>Token estático de configuración</t>
  </si>
  <si>
    <t>Token fijo, sin rotación</t>
  </si>
  <si>
    <t>3 intentos</t>
  </si>
  <si>
    <t>ALTO</t>
  </si>
  <si>
    <t>bedocmanagement (interno)</t>
  </si>
  <si>
    <t>Cabeceras estáticas (x-santander-client-id: 123)</t>
  </si>
  <si>
    <t>Según DOCUMENT_URL</t>
  </si>
  <si>
    <t>n/a (sin connector)</t>
  </si>
  <si>
    <t>FacePhi / Zytrust</t>
  </si>
  <si>
    <t>x-api-key</t>
  </si>
  <si>
    <t>HTTPS + proxy</t>
  </si>
  <si>
    <t>API key estática</t>
  </si>
  <si>
    <t>50 000 ms</t>
  </si>
  <si>
    <t>AWS S3 + DynamoDB</t>
  </si>
  <si>
    <t>IRSA + AssumeRole</t>
  </si>
  <si>
    <t>HTTPS (SDK)</t>
  </si>
  <si>
    <t>Por defecto (correcta)</t>
  </si>
  <si>
    <t>STS temporal, autorrenovado</t>
  </si>
  <si>
    <t>SDK</t>
  </si>
  <si>
    <t>BAJO</t>
  </si>
  <si>
    <t>Celmedia OTP</t>
  </si>
  <si>
    <t>OAuth2 client_credentials (Basic)</t>
  </si>
  <si>
    <t>Desactivada + hostname</t>
  </si>
  <si>
    <t>Bearer con expiración</t>
  </si>
  <si>
    <t>Acoustic / Celmedia correo</t>
  </si>
  <si>
    <t>OAuth2 refresh_token hardcodeado</t>
  </si>
  <si>
    <t>HTTP en url-send-mail por defecto</t>
  </si>
  <si>
    <t>FacePhi</t>
  </si>
  <si>
    <t>x-api-key (dos claves distintas)</t>
  </si>
  <si>
    <t>10 000 ms</t>
  </si>
  <si>
    <t>beknowyocustomer</t>
  </si>
  <si>
    <t>DynamoDB</t>
  </si>
  <si>
    <t>STS temporal</t>
  </si>
  <si>
    <t>RDS Postgres</t>
  </si>
  <si>
    <t>Usuario/contraseña</t>
  </si>
  <si>
    <t>Según SEC_RDS_DB_URL</t>
  </si>
  <si>
    <t>No verificable</t>
  </si>
  <si>
    <t>Hikari 20 000 ms</t>
  </si>
  <si>
    <t>MEDIO</t>
  </si>
  <si>
    <t>Gesintel / AMLUpdate</t>
  </si>
  <si>
    <t>Usuario/contraseña -&gt; token</t>
  </si>
  <si>
    <t>Token con expiración correcta</t>
  </si>
  <si>
    <t>500 ms (demasiado bajo)</t>
  </si>
  <si>
    <t>Proyectos analizados</t>
  </si>
  <si>
    <t>Ruta base (contrato)</t>
  </si>
  <si>
    <t>Parent Gluon</t>
  </si>
  <si>
    <t>Java</t>
  </si>
  <si>
    <t>Endpoints decl.</t>
  </si>
  <si>
    <t>Persistencia / Integración</t>
  </si>
  <si>
    <t>cpe-nxhbsc-beclaims</t>
  </si>
  <si>
    <t>/v1/claims_book</t>
  </si>
  <si>
    <t>1.5.2</t>
  </si>
  <si>
    <t>17</t>
  </si>
  <si>
    <t>Contáctanos (GSNET, HTTP claro)</t>
  </si>
  <si>
    <t>cpe-nxhbsc-becreditrisk</t>
  </si>
  <si>
    <t>/v1/credit_risk_decisions</t>
  </si>
  <si>
    <t>1.6.0</t>
  </si>
  <si>
    <t>RDS Postgres + DynamoDB + Modellica</t>
  </si>
  <si>
    <t>cpe-nxhbsc-becustombeprogrm</t>
  </si>
  <si>
    <t>/v1/customer_benefit_programs</t>
  </si>
  <si>
    <t>DynamoDB + SKY + Qurable</t>
  </si>
  <si>
    <t>cpe-nxhbsc-bedatacomanagment</t>
  </si>
  <si>
    <t>/v7/data_consents_management</t>
  </si>
  <si>
    <t>1 *(era 8)*</t>
  </si>
  <si>
    <t>cpe-nxhbsc-bedigitsignature</t>
  </si>
  <si>
    <t>/v1</t>
  </si>
  <si>
    <t>DynamoDB + bedocmanagement + FacePhi/Zytrust</t>
  </si>
  <si>
    <t>cpe-nxhbsc-bedocmanagement</t>
  </si>
  <si>
    <t>/v2/document_management</t>
  </si>
  <si>
    <t>S3 + DynamoDB</t>
  </si>
  <si>
    <t>cpe-nxhbsc-beemailboxes</t>
  </si>
  <si>
    <t>/v1/emailboxes</t>
  </si>
  <si>
    <t>DynamoDB + S3 + Celmedia (OTP/mail)</t>
  </si>
  <si>
    <t>cpe-nxhbsc-beidentbiometric</t>
  </si>
  <si>
    <t>/v1/identity_biometric</t>
  </si>
  <si>
    <t>DynamoDB + FacePhi</t>
  </si>
  <si>
    <t>cpe-nxhbsc-beknowyocustomer</t>
  </si>
  <si>
    <t>/v6/know_your_customer</t>
  </si>
  <si>
    <t>3 *(era 20)*</t>
  </si>
  <si>
    <t>cpe-nxhbsc-beproducoffering</t>
  </si>
  <si>
    <t>/v1/customer_card_position</t>
  </si>
  <si>
    <t>1.5.1</t>
  </si>
  <si>
    <t>cpe-nxhbsc-bewatchscreening</t>
  </si>
  <si>
    <t>/v1/watchlist_screening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</si>
</sst>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b/>
      <sz val="20"/>
      <color rgb="FF3B3B3B"/>
      <name val="Arial"/>
    </font>
    <font>
      <b/>
      <sz val="20"/>
      <color rgb="FFC00000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  <font>
      <i/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B3B3B"/>
      </patternFill>
    </fill>
    <fill>
      <patternFill patternType="solid">
        <fgColor rgb="FFE36C0A"/>
      </patternFill>
    </fill>
    <fill>
      <patternFill patternType="solid">
        <fgColor rgb="FFBF9000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2E74B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0" fillId="0" borderId="0" xfId="0" applyFont="1"/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top"/>
    </xf>
    <xf numFmtId="165" fontId="9" fillId="8" borderId="1" xfId="0" applyNumberFormat="1" applyFont="1" applyFill="1" applyBorder="1" applyAlignment="1">
      <alignment vertical="top"/>
    </xf>
    <xf numFmtId="0" fontId="9" fillId="8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8" fillId="4" borderId="1" xfId="0" applyFont="1" applyFill="1" applyBorder="1"/>
    <xf numFmtId="0" fontId="8" fillId="5" borderId="1" xfId="0" applyFont="1" applyFill="1" applyBorder="1"/>
    <xf numFmtId="0" fontId="8" fillId="6" borderId="1" xfId="0" applyFont="1" applyFill="1" applyBorder="1"/>
    <xf numFmtId="0" fontId="8" fillId="7" borderId="1" xfId="0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indent="1"/>
    </xf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 severidad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Dashboard!$B$6:$B$10</c:f>
              <c:strCache>
                <c:ptCount val="5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  <c:pt idx="4">
                  <c:v>Info</c:v>
                </c:pt>
              </c:strCache>
            </c:strRef>
          </c:cat>
          <c:val>
            <c:numRef>
              <c:f>Dashboard!$C$6:$C$10</c:f>
              <c:numCache>
                <c:formatCode>General</c:formatCode>
                <c:ptCount val="5"/>
                <c:pt idx="0">
                  <c:v>7</c:v>
                </c:pt>
                <c:pt idx="1">
                  <c:v>18</c:v>
                </c:pt>
                <c:pt idx="2">
                  <c:v>21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3-4410-8438-29F4AF5E4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Dashboard!$G$5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Dashboard!$F$6:$F$9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Dashboard!$G$6:$G$9</c:f>
              <c:numCache>
                <c:formatCode>General</c:formatCode>
                <c:ptCount val="4"/>
                <c:pt idx="0">
                  <c:v>7</c:v>
                </c:pt>
                <c:pt idx="1">
                  <c:v>19</c:v>
                </c:pt>
                <c:pt idx="2">
                  <c:v>21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E-4C2A-A80D-FD9E2BFDB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Estado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Dashboard!$K$5</c:f>
              <c:strCache>
                <c:ptCount val="1"/>
                <c:pt idx="0">
                  <c:v>N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Dashboard!$J$6:$J$11</c:f>
              <c:strCache>
                <c:ptCount val="6"/>
                <c:pt idx="0">
                  <c:v>ABIERTO</c:v>
                </c:pt>
                <c:pt idx="1">
                  <c:v>EN CURSO</c:v>
                </c:pt>
                <c:pt idx="2">
                  <c:v>EN REVISION</c:v>
                </c:pt>
                <c:pt idx="3">
                  <c:v>CERRADO</c:v>
                </c:pt>
                <c:pt idx="4">
                  <c:v>ASUMIDO</c:v>
                </c:pt>
                <c:pt idx="5">
                  <c:v>NO APLICA</c:v>
                </c:pt>
              </c:strCache>
            </c:strRef>
          </c:cat>
          <c:val>
            <c:numRef>
              <c:f>Dashboard!$K$6:$K$11</c:f>
              <c:numCache>
                <c:formatCode>General</c:formatCode>
                <c:ptCount val="6"/>
                <c:pt idx="0">
                  <c:v>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9-41CC-BEBF-6BBD3E96E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18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33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showGridLines="0" tabSelected="1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4" width="16" customWidth="1"/>
    <col min="5" max="5" width="18" customWidth="1"/>
    <col min="6" max="7" width="16" customWidth="1"/>
    <col min="8" max="8" width="20" customWidth="1"/>
  </cols>
  <sheetData>
    <row r="2" spans="2:8" ht="27.95" customHeight="1" x14ac:dyDescent="0.25">
      <c r="B2" s="45" t="s">
        <v>0</v>
      </c>
      <c r="C2" s="42"/>
      <c r="D2" s="42"/>
      <c r="E2" s="42"/>
      <c r="F2" s="42"/>
      <c r="G2" s="42"/>
      <c r="H2" s="42"/>
    </row>
    <row r="4" spans="2:8" x14ac:dyDescent="0.25">
      <c r="B4" s="1" t="s">
        <v>1</v>
      </c>
      <c r="C4" s="43" t="s">
        <v>2</v>
      </c>
      <c r="D4" s="42"/>
      <c r="E4" s="42"/>
      <c r="F4" s="42"/>
      <c r="G4" s="42"/>
      <c r="H4" s="42"/>
    </row>
    <row r="5" spans="2:8" x14ac:dyDescent="0.25">
      <c r="B5" s="1" t="s">
        <v>3</v>
      </c>
      <c r="C5" s="43" t="s">
        <v>4</v>
      </c>
      <c r="D5" s="42"/>
      <c r="E5" s="42"/>
      <c r="F5" s="42"/>
      <c r="G5" s="42"/>
      <c r="H5" s="42"/>
    </row>
    <row r="6" spans="2:8" x14ac:dyDescent="0.25">
      <c r="B6" s="1" t="s">
        <v>5</v>
      </c>
      <c r="C6" s="43" t="s">
        <v>6</v>
      </c>
      <c r="D6" s="42"/>
      <c r="E6" s="42"/>
      <c r="F6" s="42"/>
      <c r="G6" s="42"/>
      <c r="H6" s="42"/>
    </row>
    <row r="8" spans="2:8" x14ac:dyDescent="0.25">
      <c r="B8" s="41" t="s">
        <v>7</v>
      </c>
      <c r="C8" s="42"/>
      <c r="D8" s="42"/>
      <c r="E8" s="42"/>
      <c r="F8" s="42"/>
      <c r="G8" s="42"/>
      <c r="H8" s="42"/>
    </row>
    <row r="9" spans="2:8" ht="30" customHeight="1" x14ac:dyDescent="0.25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2:8" ht="33.950000000000003" customHeight="1" x14ac:dyDescent="0.25">
      <c r="B10" s="3">
        <f>COUNTA(Hallazgos!$A$2:$A$56)</f>
        <v>55</v>
      </c>
      <c r="C10" s="4">
        <f>COUNTIF(Hallazgos!$B$2:$B$56,"Critical")</f>
        <v>7</v>
      </c>
      <c r="D10" s="4">
        <f>COUNTIF(Hallazgos!$B$2:$B$56,"High")</f>
        <v>18</v>
      </c>
      <c r="E10" s="4">
        <f>COUNTIF(Hallazgos!$C$2:$C$56,"P0")</f>
        <v>7</v>
      </c>
      <c r="F10" s="3">
        <f>COUNTIF(Seguimiento!$E$12:$E$66,"CERRADO")</f>
        <v>0</v>
      </c>
      <c r="G10" s="5">
        <f>IFERROR(F10/B10,0)</f>
        <v>0</v>
      </c>
    </row>
    <row r="12" spans="2:8" x14ac:dyDescent="0.25">
      <c r="B12" s="41" t="s">
        <v>14</v>
      </c>
      <c r="C12" s="42"/>
      <c r="D12" s="42"/>
      <c r="E12" s="42"/>
      <c r="F12" s="42"/>
      <c r="G12" s="42"/>
      <c r="H12" s="42"/>
    </row>
    <row r="13" spans="2:8" x14ac:dyDescent="0.25">
      <c r="B13" s="44" t="s">
        <v>15</v>
      </c>
      <c r="C13" s="42"/>
      <c r="D13" s="42"/>
      <c r="E13" s="42"/>
      <c r="F13" s="42"/>
      <c r="G13" s="42"/>
      <c r="H13" s="42"/>
    </row>
    <row r="14" spans="2:8" x14ac:dyDescent="0.25">
      <c r="B14" s="42"/>
      <c r="C14" s="42"/>
      <c r="D14" s="42"/>
      <c r="E14" s="42"/>
      <c r="F14" s="42"/>
      <c r="G14" s="42"/>
      <c r="H14" s="42"/>
    </row>
    <row r="15" spans="2:8" x14ac:dyDescent="0.25">
      <c r="B15" s="42"/>
      <c r="C15" s="42"/>
      <c r="D15" s="42"/>
      <c r="E15" s="42"/>
      <c r="F15" s="42"/>
      <c r="G15" s="42"/>
      <c r="H15" s="42"/>
    </row>
    <row r="16" spans="2:8" x14ac:dyDescent="0.25">
      <c r="B16" s="42"/>
      <c r="C16" s="42"/>
      <c r="D16" s="42"/>
      <c r="E16" s="42"/>
      <c r="F16" s="42"/>
      <c r="G16" s="42"/>
      <c r="H16" s="42"/>
    </row>
    <row r="17" spans="2:8" x14ac:dyDescent="0.25">
      <c r="B17" s="42"/>
      <c r="C17" s="42"/>
      <c r="D17" s="42"/>
      <c r="E17" s="42"/>
      <c r="F17" s="42"/>
      <c r="G17" s="42"/>
      <c r="H17" s="42"/>
    </row>
    <row r="18" spans="2:8" x14ac:dyDescent="0.25">
      <c r="B18" s="42"/>
      <c r="C18" s="42"/>
      <c r="D18" s="42"/>
      <c r="E18" s="42"/>
      <c r="F18" s="42"/>
      <c r="G18" s="42"/>
      <c r="H18" s="42"/>
    </row>
    <row r="19" spans="2:8" x14ac:dyDescent="0.25">
      <c r="B19" s="42"/>
      <c r="C19" s="42"/>
      <c r="D19" s="42"/>
      <c r="E19" s="42"/>
      <c r="F19" s="42"/>
      <c r="G19" s="42"/>
      <c r="H19" s="42"/>
    </row>
    <row r="20" spans="2:8" x14ac:dyDescent="0.25">
      <c r="B20" s="42"/>
      <c r="C20" s="42"/>
      <c r="D20" s="42"/>
      <c r="E20" s="42"/>
      <c r="F20" s="42"/>
      <c r="G20" s="42"/>
      <c r="H20" s="42"/>
    </row>
    <row r="21" spans="2:8" x14ac:dyDescent="0.25">
      <c r="B21" s="42"/>
      <c r="C21" s="42"/>
      <c r="D21" s="42"/>
      <c r="E21" s="42"/>
      <c r="F21" s="42"/>
      <c r="G21" s="42"/>
      <c r="H21" s="42"/>
    </row>
    <row r="22" spans="2:8" x14ac:dyDescent="0.25">
      <c r="B22" s="42"/>
      <c r="C22" s="42"/>
      <c r="D22" s="42"/>
      <c r="E22" s="42"/>
      <c r="F22" s="42"/>
      <c r="G22" s="42"/>
      <c r="H22" s="42"/>
    </row>
    <row r="23" spans="2:8" x14ac:dyDescent="0.25">
      <c r="B23" s="42"/>
      <c r="C23" s="42"/>
      <c r="D23" s="42"/>
      <c r="E23" s="42"/>
      <c r="F23" s="42"/>
      <c r="G23" s="42"/>
      <c r="H23" s="42"/>
    </row>
    <row r="24" spans="2:8" x14ac:dyDescent="0.25">
      <c r="B24" s="42"/>
      <c r="C24" s="42"/>
      <c r="D24" s="42"/>
      <c r="E24" s="42"/>
      <c r="F24" s="42"/>
      <c r="G24" s="42"/>
      <c r="H24" s="42"/>
    </row>
  </sheetData>
  <mergeCells count="7">
    <mergeCell ref="B2:H2"/>
    <mergeCell ref="C4:H4"/>
    <mergeCell ref="B8:H8"/>
    <mergeCell ref="C6:H6"/>
    <mergeCell ref="B13:H24"/>
    <mergeCell ref="C5:H5"/>
    <mergeCell ref="B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13" customWidth="1"/>
    <col min="5" max="5" width="20" customWidth="1"/>
    <col min="6" max="6" width="15" customWidth="1"/>
    <col min="7" max="7" width="52" customWidth="1"/>
    <col min="8" max="8" width="20" customWidth="1"/>
    <col min="9" max="9" width="26" customWidth="1"/>
    <col min="10" max="10" width="16" customWidth="1"/>
    <col min="11" max="11" width="34" customWidth="1"/>
    <col min="12" max="12" width="58" customWidth="1"/>
  </cols>
  <sheetData>
    <row r="1" spans="1:12" ht="30" customHeigh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</row>
    <row r="2" spans="1:12" ht="42" customHeight="1" x14ac:dyDescent="0.25">
      <c r="A2" s="7" t="s">
        <v>28</v>
      </c>
      <c r="B2" s="8" t="s">
        <v>29</v>
      </c>
      <c r="C2" s="9" t="s">
        <v>30</v>
      </c>
      <c r="D2" s="35" t="s">
        <v>31</v>
      </c>
      <c r="E2" s="36" t="s">
        <v>32</v>
      </c>
      <c r="F2" s="9" t="s">
        <v>33</v>
      </c>
      <c r="G2" s="10" t="s">
        <v>34</v>
      </c>
      <c r="H2" s="10" t="s">
        <v>35</v>
      </c>
      <c r="I2" s="10" t="s">
        <v>36</v>
      </c>
      <c r="J2" s="11" t="s">
        <v>37</v>
      </c>
      <c r="K2" s="10" t="s">
        <v>38</v>
      </c>
      <c r="L2" s="10" t="s">
        <v>39</v>
      </c>
    </row>
    <row r="3" spans="1:12" ht="42" customHeight="1" x14ac:dyDescent="0.25">
      <c r="A3" s="7" t="s">
        <v>40</v>
      </c>
      <c r="B3" s="8" t="s">
        <v>29</v>
      </c>
      <c r="C3" s="9" t="s">
        <v>30</v>
      </c>
      <c r="D3" s="37" t="s">
        <v>41</v>
      </c>
      <c r="E3" s="36" t="s">
        <v>42</v>
      </c>
      <c r="F3" s="9" t="s">
        <v>33</v>
      </c>
      <c r="G3" s="10" t="s">
        <v>43</v>
      </c>
      <c r="H3" s="10" t="s">
        <v>44</v>
      </c>
      <c r="I3" s="10" t="s">
        <v>45</v>
      </c>
      <c r="J3" s="11" t="s">
        <v>46</v>
      </c>
      <c r="K3" s="10" t="s">
        <v>47</v>
      </c>
      <c r="L3" s="10" t="s">
        <v>48</v>
      </c>
    </row>
    <row r="4" spans="1:12" ht="42" customHeight="1" x14ac:dyDescent="0.25">
      <c r="A4" s="7" t="s">
        <v>49</v>
      </c>
      <c r="B4" s="12" t="s">
        <v>50</v>
      </c>
      <c r="C4" s="9" t="s">
        <v>51</v>
      </c>
      <c r="D4" s="38" t="s">
        <v>52</v>
      </c>
      <c r="E4" s="36" t="s">
        <v>53</v>
      </c>
      <c r="F4" s="9" t="s">
        <v>33</v>
      </c>
      <c r="G4" s="10" t="s">
        <v>54</v>
      </c>
      <c r="H4" s="10" t="s">
        <v>55</v>
      </c>
      <c r="I4" s="10" t="s">
        <v>56</v>
      </c>
      <c r="J4" s="11" t="s">
        <v>57</v>
      </c>
      <c r="K4" s="10" t="s">
        <v>58</v>
      </c>
      <c r="L4" s="10" t="s">
        <v>59</v>
      </c>
    </row>
    <row r="5" spans="1:12" ht="42" customHeight="1" x14ac:dyDescent="0.25">
      <c r="A5" s="7" t="s">
        <v>60</v>
      </c>
      <c r="B5" s="8" t="s">
        <v>29</v>
      </c>
      <c r="C5" s="9" t="s">
        <v>30</v>
      </c>
      <c r="D5" s="38" t="s">
        <v>52</v>
      </c>
      <c r="E5" s="36" t="s">
        <v>53</v>
      </c>
      <c r="F5" s="9" t="s">
        <v>33</v>
      </c>
      <c r="G5" s="10" t="s">
        <v>61</v>
      </c>
      <c r="H5" s="10" t="s">
        <v>62</v>
      </c>
      <c r="I5" s="10" t="s">
        <v>63</v>
      </c>
      <c r="J5" s="11" t="s">
        <v>64</v>
      </c>
      <c r="K5" s="10" t="s">
        <v>65</v>
      </c>
      <c r="L5" s="10" t="s">
        <v>66</v>
      </c>
    </row>
    <row r="6" spans="1:12" ht="42" customHeight="1" x14ac:dyDescent="0.25">
      <c r="A6" s="7" t="s">
        <v>67</v>
      </c>
      <c r="B6" s="8" t="s">
        <v>29</v>
      </c>
      <c r="C6" s="9" t="s">
        <v>30</v>
      </c>
      <c r="D6" s="37" t="s">
        <v>41</v>
      </c>
      <c r="E6" s="36" t="s">
        <v>68</v>
      </c>
      <c r="F6" s="9" t="s">
        <v>33</v>
      </c>
      <c r="G6" s="10" t="s">
        <v>69</v>
      </c>
      <c r="H6" s="10" t="s">
        <v>70</v>
      </c>
      <c r="I6" s="10" t="s">
        <v>71</v>
      </c>
      <c r="J6" s="11" t="s">
        <v>72</v>
      </c>
      <c r="K6" s="10" t="s">
        <v>73</v>
      </c>
      <c r="L6" s="10" t="s">
        <v>74</v>
      </c>
    </row>
    <row r="7" spans="1:12" ht="42" customHeight="1" x14ac:dyDescent="0.25">
      <c r="A7" s="7" t="s">
        <v>75</v>
      </c>
      <c r="B7" s="8" t="s">
        <v>29</v>
      </c>
      <c r="C7" s="9" t="s">
        <v>30</v>
      </c>
      <c r="D7" s="38" t="s">
        <v>52</v>
      </c>
      <c r="E7" s="36" t="s">
        <v>53</v>
      </c>
      <c r="F7" s="9" t="s">
        <v>33</v>
      </c>
      <c r="G7" s="10" t="s">
        <v>76</v>
      </c>
      <c r="H7" s="10" t="s">
        <v>77</v>
      </c>
      <c r="I7" s="10" t="s">
        <v>78</v>
      </c>
      <c r="J7" s="11" t="s">
        <v>79</v>
      </c>
      <c r="K7" s="10" t="s">
        <v>80</v>
      </c>
      <c r="L7" s="10" t="s">
        <v>81</v>
      </c>
    </row>
    <row r="8" spans="1:12" ht="42" customHeight="1" x14ac:dyDescent="0.25">
      <c r="A8" s="7" t="s">
        <v>82</v>
      </c>
      <c r="B8" s="8" t="s">
        <v>29</v>
      </c>
      <c r="C8" s="9" t="s">
        <v>30</v>
      </c>
      <c r="D8" s="38" t="s">
        <v>52</v>
      </c>
      <c r="E8" s="36" t="s">
        <v>53</v>
      </c>
      <c r="F8" s="9" t="s">
        <v>33</v>
      </c>
      <c r="G8" s="10" t="s">
        <v>83</v>
      </c>
      <c r="H8" s="10" t="s">
        <v>84</v>
      </c>
      <c r="I8" s="10" t="s">
        <v>85</v>
      </c>
      <c r="J8" s="11" t="s">
        <v>86</v>
      </c>
      <c r="K8" s="10" t="s">
        <v>87</v>
      </c>
      <c r="L8" s="10" t="s">
        <v>88</v>
      </c>
    </row>
    <row r="9" spans="1:12" ht="42" customHeight="1" x14ac:dyDescent="0.25">
      <c r="A9" s="7" t="s">
        <v>89</v>
      </c>
      <c r="B9" s="13" t="s">
        <v>90</v>
      </c>
      <c r="C9" s="9" t="s">
        <v>91</v>
      </c>
      <c r="D9" s="38" t="s">
        <v>52</v>
      </c>
      <c r="E9" s="36" t="s">
        <v>53</v>
      </c>
      <c r="F9" s="9" t="s">
        <v>33</v>
      </c>
      <c r="G9" s="10" t="s">
        <v>92</v>
      </c>
      <c r="H9" s="10" t="s">
        <v>93</v>
      </c>
      <c r="I9" s="10" t="s">
        <v>94</v>
      </c>
      <c r="J9" s="11" t="s">
        <v>95</v>
      </c>
      <c r="K9" s="10" t="s">
        <v>96</v>
      </c>
      <c r="L9" s="10" t="s">
        <v>97</v>
      </c>
    </row>
    <row r="10" spans="1:12" ht="42" customHeight="1" x14ac:dyDescent="0.25">
      <c r="A10" s="7" t="s">
        <v>98</v>
      </c>
      <c r="B10" s="8" t="s">
        <v>29</v>
      </c>
      <c r="C10" s="9" t="s">
        <v>30</v>
      </c>
      <c r="D10" s="37" t="s">
        <v>41</v>
      </c>
      <c r="E10" s="36" t="s">
        <v>99</v>
      </c>
      <c r="F10" s="9" t="s">
        <v>33</v>
      </c>
      <c r="G10" s="10" t="s">
        <v>100</v>
      </c>
      <c r="H10" s="10" t="s">
        <v>93</v>
      </c>
      <c r="I10" s="10" t="s">
        <v>101</v>
      </c>
      <c r="J10" s="11" t="s">
        <v>102</v>
      </c>
      <c r="K10" s="10" t="s">
        <v>103</v>
      </c>
      <c r="L10" s="10" t="s">
        <v>104</v>
      </c>
    </row>
    <row r="11" spans="1:12" ht="42" customHeight="1" x14ac:dyDescent="0.25">
      <c r="A11" s="7" t="s">
        <v>105</v>
      </c>
      <c r="B11" s="12" t="s">
        <v>50</v>
      </c>
      <c r="C11" s="9" t="s">
        <v>51</v>
      </c>
      <c r="D11" s="38" t="s">
        <v>52</v>
      </c>
      <c r="E11" s="36" t="s">
        <v>53</v>
      </c>
      <c r="F11" s="9" t="s">
        <v>33</v>
      </c>
      <c r="G11" s="10" t="s">
        <v>106</v>
      </c>
      <c r="H11" s="10" t="s">
        <v>77</v>
      </c>
      <c r="I11" s="10" t="s">
        <v>107</v>
      </c>
      <c r="J11" s="11" t="s">
        <v>86</v>
      </c>
      <c r="K11" s="10" t="s">
        <v>108</v>
      </c>
      <c r="L11" s="10" t="s">
        <v>109</v>
      </c>
    </row>
    <row r="12" spans="1:12" ht="42" customHeight="1" x14ac:dyDescent="0.25">
      <c r="A12" s="7" t="s">
        <v>110</v>
      </c>
      <c r="B12" s="12" t="s">
        <v>50</v>
      </c>
      <c r="C12" s="9" t="s">
        <v>51</v>
      </c>
      <c r="D12" s="38" t="s">
        <v>52</v>
      </c>
      <c r="E12" s="36" t="s">
        <v>53</v>
      </c>
      <c r="F12" s="9" t="s">
        <v>33</v>
      </c>
      <c r="G12" s="10" t="s">
        <v>111</v>
      </c>
      <c r="H12" s="10" t="s">
        <v>112</v>
      </c>
      <c r="I12" s="10" t="s">
        <v>113</v>
      </c>
      <c r="J12" s="11" t="s">
        <v>86</v>
      </c>
      <c r="K12" s="10" t="s">
        <v>114</v>
      </c>
      <c r="L12" s="10" t="s">
        <v>115</v>
      </c>
    </row>
    <row r="13" spans="1:12" ht="42" customHeight="1" x14ac:dyDescent="0.25">
      <c r="A13" s="7" t="s">
        <v>116</v>
      </c>
      <c r="B13" s="12" t="s">
        <v>50</v>
      </c>
      <c r="C13" s="9" t="s">
        <v>51</v>
      </c>
      <c r="D13" s="38" t="s">
        <v>52</v>
      </c>
      <c r="E13" s="36" t="s">
        <v>53</v>
      </c>
      <c r="F13" s="9" t="s">
        <v>33</v>
      </c>
      <c r="G13" s="10" t="s">
        <v>117</v>
      </c>
      <c r="H13" s="10" t="s">
        <v>55</v>
      </c>
      <c r="I13" s="10" t="s">
        <v>118</v>
      </c>
      <c r="J13" s="11" t="s">
        <v>86</v>
      </c>
      <c r="K13" s="10" t="s">
        <v>119</v>
      </c>
      <c r="L13" s="10" t="s">
        <v>120</v>
      </c>
    </row>
    <row r="14" spans="1:12" ht="42" customHeight="1" x14ac:dyDescent="0.25">
      <c r="A14" s="7" t="s">
        <v>121</v>
      </c>
      <c r="B14" s="12" t="s">
        <v>50</v>
      </c>
      <c r="C14" s="9" t="s">
        <v>51</v>
      </c>
      <c r="D14" s="37" t="s">
        <v>41</v>
      </c>
      <c r="E14" s="36" t="s">
        <v>122</v>
      </c>
      <c r="F14" s="9" t="s">
        <v>33</v>
      </c>
      <c r="G14" s="10" t="s">
        <v>123</v>
      </c>
      <c r="H14" s="10" t="s">
        <v>124</v>
      </c>
      <c r="I14" s="10" t="s">
        <v>125</v>
      </c>
      <c r="J14" s="11" t="s">
        <v>126</v>
      </c>
      <c r="K14" s="10" t="s">
        <v>127</v>
      </c>
      <c r="L14" s="10" t="s">
        <v>128</v>
      </c>
    </row>
    <row r="15" spans="1:12" ht="42" customHeight="1" x14ac:dyDescent="0.25">
      <c r="A15" s="7" t="s">
        <v>129</v>
      </c>
      <c r="B15" s="12" t="s">
        <v>50</v>
      </c>
      <c r="C15" s="9" t="s">
        <v>51</v>
      </c>
      <c r="D15" s="37" t="s">
        <v>41</v>
      </c>
      <c r="E15" s="36" t="s">
        <v>130</v>
      </c>
      <c r="F15" s="9" t="s">
        <v>131</v>
      </c>
      <c r="G15" s="10" t="s">
        <v>132</v>
      </c>
      <c r="H15" s="10" t="s">
        <v>124</v>
      </c>
      <c r="I15" s="10" t="s">
        <v>133</v>
      </c>
      <c r="J15" s="11" t="s">
        <v>134</v>
      </c>
      <c r="K15" s="10" t="s">
        <v>135</v>
      </c>
      <c r="L15" s="10" t="s">
        <v>136</v>
      </c>
    </row>
    <row r="16" spans="1:12" ht="42" customHeight="1" x14ac:dyDescent="0.25">
      <c r="A16" s="7" t="s">
        <v>137</v>
      </c>
      <c r="B16" s="13" t="s">
        <v>90</v>
      </c>
      <c r="C16" s="9" t="s">
        <v>91</v>
      </c>
      <c r="D16" s="39" t="s">
        <v>138</v>
      </c>
      <c r="E16" s="36" t="s">
        <v>139</v>
      </c>
      <c r="F16" s="9" t="s">
        <v>33</v>
      </c>
      <c r="G16" s="10" t="s">
        <v>140</v>
      </c>
      <c r="H16" s="10" t="s">
        <v>141</v>
      </c>
      <c r="I16" s="10" t="s">
        <v>142</v>
      </c>
      <c r="J16" s="11" t="s">
        <v>143</v>
      </c>
      <c r="K16" s="10" t="s">
        <v>144</v>
      </c>
      <c r="L16" s="10" t="s">
        <v>145</v>
      </c>
    </row>
    <row r="17" spans="1:12" ht="42" customHeight="1" x14ac:dyDescent="0.25">
      <c r="A17" s="7" t="s">
        <v>146</v>
      </c>
      <c r="B17" s="12" t="s">
        <v>50</v>
      </c>
      <c r="C17" s="9" t="s">
        <v>51</v>
      </c>
      <c r="D17" s="38" t="s">
        <v>52</v>
      </c>
      <c r="E17" s="36" t="s">
        <v>53</v>
      </c>
      <c r="F17" s="9" t="s">
        <v>33</v>
      </c>
      <c r="G17" s="10" t="s">
        <v>147</v>
      </c>
      <c r="H17" s="10" t="s">
        <v>148</v>
      </c>
      <c r="I17" s="10" t="s">
        <v>149</v>
      </c>
      <c r="J17" s="11" t="s">
        <v>150</v>
      </c>
      <c r="K17" s="10" t="s">
        <v>151</v>
      </c>
      <c r="L17" s="10" t="s">
        <v>152</v>
      </c>
    </row>
    <row r="18" spans="1:12" ht="42" customHeight="1" x14ac:dyDescent="0.25">
      <c r="A18" s="7" t="s">
        <v>153</v>
      </c>
      <c r="B18" s="12" t="s">
        <v>50</v>
      </c>
      <c r="C18" s="9" t="s">
        <v>51</v>
      </c>
      <c r="D18" s="37" t="s">
        <v>41</v>
      </c>
      <c r="E18" s="36" t="s">
        <v>154</v>
      </c>
      <c r="F18" s="9" t="s">
        <v>33</v>
      </c>
      <c r="G18" s="10" t="s">
        <v>155</v>
      </c>
      <c r="H18" s="10" t="s">
        <v>156</v>
      </c>
      <c r="I18" s="10" t="s">
        <v>157</v>
      </c>
      <c r="J18" s="11" t="s">
        <v>158</v>
      </c>
      <c r="K18" s="10" t="s">
        <v>159</v>
      </c>
      <c r="L18" s="10" t="s">
        <v>160</v>
      </c>
    </row>
    <row r="19" spans="1:12" ht="42" customHeight="1" x14ac:dyDescent="0.25">
      <c r="A19" s="7" t="s">
        <v>161</v>
      </c>
      <c r="B19" s="12" t="s">
        <v>50</v>
      </c>
      <c r="C19" s="9" t="s">
        <v>51</v>
      </c>
      <c r="D19" s="37" t="s">
        <v>41</v>
      </c>
      <c r="E19" s="36" t="s">
        <v>139</v>
      </c>
      <c r="F19" s="9" t="s">
        <v>131</v>
      </c>
      <c r="G19" s="10" t="s">
        <v>162</v>
      </c>
      <c r="H19" s="10" t="s">
        <v>163</v>
      </c>
      <c r="I19" s="10" t="s">
        <v>164</v>
      </c>
      <c r="J19" s="11" t="s">
        <v>165</v>
      </c>
      <c r="K19" s="10" t="s">
        <v>166</v>
      </c>
      <c r="L19" s="10" t="s">
        <v>167</v>
      </c>
    </row>
    <row r="20" spans="1:12" ht="42" customHeight="1" x14ac:dyDescent="0.25">
      <c r="A20" s="7" t="s">
        <v>168</v>
      </c>
      <c r="B20" s="12" t="s">
        <v>50</v>
      </c>
      <c r="C20" s="9" t="s">
        <v>51</v>
      </c>
      <c r="D20" s="37" t="s">
        <v>41</v>
      </c>
      <c r="E20" s="36" t="s">
        <v>169</v>
      </c>
      <c r="F20" s="9" t="s">
        <v>33</v>
      </c>
      <c r="G20" s="10" t="s">
        <v>170</v>
      </c>
      <c r="H20" s="10" t="s">
        <v>84</v>
      </c>
      <c r="I20" s="10" t="s">
        <v>171</v>
      </c>
      <c r="J20" s="11" t="s">
        <v>172</v>
      </c>
      <c r="K20" s="10" t="s">
        <v>173</v>
      </c>
      <c r="L20" s="10" t="s">
        <v>174</v>
      </c>
    </row>
    <row r="21" spans="1:12" ht="42" customHeight="1" x14ac:dyDescent="0.25">
      <c r="A21" s="7" t="s">
        <v>175</v>
      </c>
      <c r="B21" s="12" t="s">
        <v>50</v>
      </c>
      <c r="C21" s="9" t="s">
        <v>51</v>
      </c>
      <c r="D21" s="39" t="s">
        <v>138</v>
      </c>
      <c r="E21" s="36" t="s">
        <v>176</v>
      </c>
      <c r="F21" s="9" t="s">
        <v>33</v>
      </c>
      <c r="G21" s="10" t="s">
        <v>177</v>
      </c>
      <c r="H21" s="10" t="s">
        <v>178</v>
      </c>
      <c r="I21" s="10" t="s">
        <v>179</v>
      </c>
      <c r="J21" s="11" t="s">
        <v>180</v>
      </c>
      <c r="K21" s="10" t="s">
        <v>181</v>
      </c>
      <c r="L21" s="10" t="s">
        <v>182</v>
      </c>
    </row>
    <row r="22" spans="1:12" ht="42" customHeight="1" x14ac:dyDescent="0.25">
      <c r="A22" s="7" t="s">
        <v>183</v>
      </c>
      <c r="B22" s="12" t="s">
        <v>50</v>
      </c>
      <c r="C22" s="9" t="s">
        <v>51</v>
      </c>
      <c r="D22" s="39" t="s">
        <v>138</v>
      </c>
      <c r="E22" s="36" t="s">
        <v>184</v>
      </c>
      <c r="F22" s="9" t="s">
        <v>33</v>
      </c>
      <c r="G22" s="10" t="s">
        <v>185</v>
      </c>
      <c r="H22" s="10" t="s">
        <v>163</v>
      </c>
      <c r="I22" s="10" t="s">
        <v>186</v>
      </c>
      <c r="J22" s="11" t="s">
        <v>126</v>
      </c>
      <c r="K22" s="10" t="s">
        <v>187</v>
      </c>
      <c r="L22" s="10" t="s">
        <v>188</v>
      </c>
    </row>
    <row r="23" spans="1:12" ht="42" customHeight="1" x14ac:dyDescent="0.25">
      <c r="A23" s="7" t="s">
        <v>189</v>
      </c>
      <c r="B23" s="13" t="s">
        <v>90</v>
      </c>
      <c r="C23" s="9" t="s">
        <v>91</v>
      </c>
      <c r="D23" s="38" t="s">
        <v>52</v>
      </c>
      <c r="E23" s="36" t="s">
        <v>53</v>
      </c>
      <c r="F23" s="9" t="s">
        <v>33</v>
      </c>
      <c r="G23" s="10" t="s">
        <v>190</v>
      </c>
      <c r="H23" s="10" t="s">
        <v>156</v>
      </c>
      <c r="I23" s="10" t="s">
        <v>191</v>
      </c>
      <c r="J23" s="11" t="s">
        <v>192</v>
      </c>
      <c r="K23" s="10" t="s">
        <v>193</v>
      </c>
      <c r="L23" s="10" t="s">
        <v>194</v>
      </c>
    </row>
    <row r="24" spans="1:12" ht="42" customHeight="1" x14ac:dyDescent="0.25">
      <c r="A24" s="7" t="s">
        <v>195</v>
      </c>
      <c r="B24" s="13" t="s">
        <v>90</v>
      </c>
      <c r="C24" s="9" t="s">
        <v>91</v>
      </c>
      <c r="D24" s="38" t="s">
        <v>52</v>
      </c>
      <c r="E24" s="36" t="s">
        <v>53</v>
      </c>
      <c r="F24" s="9" t="s">
        <v>33</v>
      </c>
      <c r="G24" s="10" t="s">
        <v>196</v>
      </c>
      <c r="H24" s="10" t="s">
        <v>148</v>
      </c>
      <c r="I24" s="10" t="s">
        <v>197</v>
      </c>
      <c r="J24" s="11" t="s">
        <v>198</v>
      </c>
      <c r="K24" s="10" t="s">
        <v>199</v>
      </c>
      <c r="L24" s="10" t="s">
        <v>200</v>
      </c>
    </row>
    <row r="25" spans="1:12" ht="42" customHeight="1" x14ac:dyDescent="0.25">
      <c r="A25" s="7" t="s">
        <v>201</v>
      </c>
      <c r="B25" s="14" t="s">
        <v>202</v>
      </c>
      <c r="C25" s="9" t="s">
        <v>203</v>
      </c>
      <c r="D25" s="39" t="s">
        <v>138</v>
      </c>
      <c r="E25" s="36" t="s">
        <v>184</v>
      </c>
      <c r="F25" s="9" t="s">
        <v>33</v>
      </c>
      <c r="G25" s="10" t="s">
        <v>204</v>
      </c>
      <c r="H25" s="10" t="s">
        <v>163</v>
      </c>
      <c r="I25" s="10" t="s">
        <v>205</v>
      </c>
      <c r="J25" s="11" t="s">
        <v>126</v>
      </c>
      <c r="K25" s="10" t="s">
        <v>206</v>
      </c>
      <c r="L25" s="10" t="s">
        <v>207</v>
      </c>
    </row>
    <row r="26" spans="1:12" ht="42" customHeight="1" x14ac:dyDescent="0.25">
      <c r="A26" s="7" t="s">
        <v>208</v>
      </c>
      <c r="B26" s="13" t="s">
        <v>90</v>
      </c>
      <c r="C26" s="9" t="s">
        <v>91</v>
      </c>
      <c r="D26" s="39" t="s">
        <v>138</v>
      </c>
      <c r="E26" s="36" t="s">
        <v>184</v>
      </c>
      <c r="F26" s="9" t="s">
        <v>209</v>
      </c>
      <c r="G26" s="10" t="s">
        <v>210</v>
      </c>
      <c r="H26" s="10" t="s">
        <v>163</v>
      </c>
      <c r="I26" s="10" t="s">
        <v>211</v>
      </c>
      <c r="J26" s="11" t="s">
        <v>212</v>
      </c>
      <c r="K26" s="10" t="s">
        <v>213</v>
      </c>
      <c r="L26" s="10" t="s">
        <v>214</v>
      </c>
    </row>
    <row r="27" spans="1:12" ht="42" customHeight="1" x14ac:dyDescent="0.25">
      <c r="A27" s="7" t="s">
        <v>215</v>
      </c>
      <c r="B27" s="13" t="s">
        <v>90</v>
      </c>
      <c r="C27" s="9" t="s">
        <v>91</v>
      </c>
      <c r="D27" s="37" t="s">
        <v>41</v>
      </c>
      <c r="E27" s="36" t="s">
        <v>216</v>
      </c>
      <c r="F27" s="9" t="s">
        <v>33</v>
      </c>
      <c r="G27" s="10" t="s">
        <v>217</v>
      </c>
      <c r="H27" s="10" t="s">
        <v>218</v>
      </c>
      <c r="I27" s="10" t="s">
        <v>219</v>
      </c>
      <c r="J27" s="11" t="s">
        <v>220</v>
      </c>
      <c r="K27" s="10" t="s">
        <v>221</v>
      </c>
      <c r="L27" s="10" t="s">
        <v>222</v>
      </c>
    </row>
    <row r="28" spans="1:12" ht="42" customHeight="1" x14ac:dyDescent="0.25">
      <c r="A28" s="7" t="s">
        <v>223</v>
      </c>
      <c r="B28" s="13" t="s">
        <v>90</v>
      </c>
      <c r="C28" s="9" t="s">
        <v>91</v>
      </c>
      <c r="D28" s="38" t="s">
        <v>52</v>
      </c>
      <c r="E28" s="36" t="s">
        <v>53</v>
      </c>
      <c r="F28" s="9" t="s">
        <v>33</v>
      </c>
      <c r="G28" s="10" t="s">
        <v>224</v>
      </c>
      <c r="H28" s="10" t="s">
        <v>225</v>
      </c>
      <c r="I28" s="10" t="s">
        <v>226</v>
      </c>
      <c r="J28" s="11" t="s">
        <v>227</v>
      </c>
      <c r="K28" s="10" t="s">
        <v>228</v>
      </c>
      <c r="L28" s="10" t="s">
        <v>229</v>
      </c>
    </row>
    <row r="29" spans="1:12" ht="42" customHeight="1" x14ac:dyDescent="0.25">
      <c r="A29" s="7" t="s">
        <v>230</v>
      </c>
      <c r="B29" s="13" t="s">
        <v>90</v>
      </c>
      <c r="C29" s="9" t="s">
        <v>91</v>
      </c>
      <c r="D29" s="37" t="s">
        <v>41</v>
      </c>
      <c r="E29" s="36" t="s">
        <v>231</v>
      </c>
      <c r="F29" s="9" t="s">
        <v>33</v>
      </c>
      <c r="G29" s="10" t="s">
        <v>232</v>
      </c>
      <c r="H29" s="10" t="s">
        <v>233</v>
      </c>
      <c r="I29" s="10" t="s">
        <v>234</v>
      </c>
      <c r="J29" s="11" t="s">
        <v>235</v>
      </c>
      <c r="K29" s="10" t="s">
        <v>236</v>
      </c>
      <c r="L29" s="10" t="s">
        <v>237</v>
      </c>
    </row>
    <row r="30" spans="1:12" ht="42" customHeight="1" x14ac:dyDescent="0.25">
      <c r="A30" s="7" t="s">
        <v>238</v>
      </c>
      <c r="B30" s="13" t="s">
        <v>90</v>
      </c>
      <c r="C30" s="9" t="s">
        <v>91</v>
      </c>
      <c r="D30" s="38" t="s">
        <v>52</v>
      </c>
      <c r="E30" s="36" t="s">
        <v>53</v>
      </c>
      <c r="F30" s="9" t="s">
        <v>33</v>
      </c>
      <c r="G30" s="10" t="s">
        <v>239</v>
      </c>
      <c r="H30" s="10" t="s">
        <v>77</v>
      </c>
      <c r="I30" s="10" t="s">
        <v>240</v>
      </c>
      <c r="J30" s="11" t="s">
        <v>241</v>
      </c>
      <c r="K30" s="10" t="s">
        <v>242</v>
      </c>
      <c r="L30" s="10" t="s">
        <v>243</v>
      </c>
    </row>
    <row r="31" spans="1:12" ht="42" customHeight="1" x14ac:dyDescent="0.25">
      <c r="A31" s="7" t="s">
        <v>244</v>
      </c>
      <c r="B31" s="13" t="s">
        <v>90</v>
      </c>
      <c r="C31" s="9" t="s">
        <v>91</v>
      </c>
      <c r="D31" s="37" t="s">
        <v>41</v>
      </c>
      <c r="E31" s="36" t="s">
        <v>245</v>
      </c>
      <c r="F31" s="9" t="s">
        <v>33</v>
      </c>
      <c r="G31" s="10" t="s">
        <v>246</v>
      </c>
      <c r="H31" s="10" t="s">
        <v>77</v>
      </c>
      <c r="I31" s="10" t="s">
        <v>247</v>
      </c>
      <c r="J31" s="11" t="s">
        <v>248</v>
      </c>
      <c r="K31" s="10" t="s">
        <v>249</v>
      </c>
      <c r="L31" s="10" t="s">
        <v>250</v>
      </c>
    </row>
    <row r="32" spans="1:12" ht="42" customHeight="1" x14ac:dyDescent="0.25">
      <c r="A32" s="7" t="s">
        <v>251</v>
      </c>
      <c r="B32" s="13" t="s">
        <v>90</v>
      </c>
      <c r="C32" s="9" t="s">
        <v>91</v>
      </c>
      <c r="D32" s="38" t="s">
        <v>52</v>
      </c>
      <c r="E32" s="36" t="s">
        <v>53</v>
      </c>
      <c r="F32" s="9" t="s">
        <v>33</v>
      </c>
      <c r="G32" s="10" t="s">
        <v>252</v>
      </c>
      <c r="H32" s="10" t="s">
        <v>93</v>
      </c>
      <c r="I32" s="10" t="s">
        <v>253</v>
      </c>
      <c r="J32" s="11" t="s">
        <v>254</v>
      </c>
      <c r="K32" s="10" t="s">
        <v>255</v>
      </c>
      <c r="L32" s="10" t="s">
        <v>256</v>
      </c>
    </row>
    <row r="33" spans="1:12" ht="42" customHeight="1" x14ac:dyDescent="0.25">
      <c r="A33" s="7" t="s">
        <v>257</v>
      </c>
      <c r="B33" s="13" t="s">
        <v>90</v>
      </c>
      <c r="C33" s="9" t="s">
        <v>91</v>
      </c>
      <c r="D33" s="38" t="s">
        <v>52</v>
      </c>
      <c r="E33" s="36" t="s">
        <v>53</v>
      </c>
      <c r="F33" s="9" t="s">
        <v>33</v>
      </c>
      <c r="G33" s="10" t="s">
        <v>258</v>
      </c>
      <c r="H33" s="10" t="s">
        <v>163</v>
      </c>
      <c r="I33" s="10" t="s">
        <v>259</v>
      </c>
      <c r="J33" s="11" t="s">
        <v>260</v>
      </c>
      <c r="K33" s="10" t="s">
        <v>261</v>
      </c>
      <c r="L33" s="10" t="s">
        <v>262</v>
      </c>
    </row>
    <row r="34" spans="1:12" ht="42" customHeight="1" x14ac:dyDescent="0.25">
      <c r="A34" s="7" t="s">
        <v>263</v>
      </c>
      <c r="B34" s="13" t="s">
        <v>90</v>
      </c>
      <c r="C34" s="9" t="s">
        <v>91</v>
      </c>
      <c r="D34" s="38" t="s">
        <v>52</v>
      </c>
      <c r="E34" s="36" t="s">
        <v>53</v>
      </c>
      <c r="F34" s="9" t="s">
        <v>33</v>
      </c>
      <c r="G34" s="10" t="s">
        <v>264</v>
      </c>
      <c r="H34" s="10" t="s">
        <v>70</v>
      </c>
      <c r="I34" s="10" t="s">
        <v>265</v>
      </c>
      <c r="J34" s="11" t="s">
        <v>266</v>
      </c>
      <c r="K34" s="10" t="s">
        <v>267</v>
      </c>
      <c r="L34" s="10" t="s">
        <v>268</v>
      </c>
    </row>
    <row r="35" spans="1:12" ht="42" customHeight="1" x14ac:dyDescent="0.25">
      <c r="A35" s="7" t="s">
        <v>269</v>
      </c>
      <c r="B35" s="13" t="s">
        <v>90</v>
      </c>
      <c r="C35" s="9" t="s">
        <v>91</v>
      </c>
      <c r="D35" s="38" t="s">
        <v>52</v>
      </c>
      <c r="E35" s="36" t="s">
        <v>53</v>
      </c>
      <c r="F35" s="9" t="s">
        <v>209</v>
      </c>
      <c r="G35" s="10" t="s">
        <v>270</v>
      </c>
      <c r="H35" s="10" t="s">
        <v>70</v>
      </c>
      <c r="I35" s="10" t="s">
        <v>271</v>
      </c>
      <c r="J35" s="11" t="s">
        <v>272</v>
      </c>
      <c r="K35" s="10" t="s">
        <v>273</v>
      </c>
      <c r="L35" s="10" t="s">
        <v>274</v>
      </c>
    </row>
    <row r="36" spans="1:12" ht="42" customHeight="1" x14ac:dyDescent="0.25">
      <c r="A36" s="7" t="s">
        <v>275</v>
      </c>
      <c r="B36" s="13" t="s">
        <v>90</v>
      </c>
      <c r="C36" s="9" t="s">
        <v>91</v>
      </c>
      <c r="D36" s="37" t="s">
        <v>41</v>
      </c>
      <c r="E36" s="36" t="s">
        <v>276</v>
      </c>
      <c r="F36" s="9" t="s">
        <v>33</v>
      </c>
      <c r="G36" s="10" t="s">
        <v>277</v>
      </c>
      <c r="H36" s="10" t="s">
        <v>278</v>
      </c>
      <c r="I36" s="10" t="s">
        <v>164</v>
      </c>
      <c r="J36" s="11" t="s">
        <v>279</v>
      </c>
      <c r="K36" s="10" t="s">
        <v>280</v>
      </c>
      <c r="L36" s="10" t="s">
        <v>281</v>
      </c>
    </row>
    <row r="37" spans="1:12" ht="42" customHeight="1" x14ac:dyDescent="0.25">
      <c r="A37" s="7" t="s">
        <v>282</v>
      </c>
      <c r="B37" s="13" t="s">
        <v>90</v>
      </c>
      <c r="C37" s="9" t="s">
        <v>91</v>
      </c>
      <c r="D37" s="38" t="s">
        <v>52</v>
      </c>
      <c r="E37" s="36" t="s">
        <v>53</v>
      </c>
      <c r="F37" s="9" t="s">
        <v>209</v>
      </c>
      <c r="G37" s="10" t="s">
        <v>283</v>
      </c>
      <c r="H37" s="10" t="s">
        <v>55</v>
      </c>
      <c r="I37" s="10" t="s">
        <v>219</v>
      </c>
      <c r="J37" s="11" t="s">
        <v>284</v>
      </c>
      <c r="K37" s="10" t="s">
        <v>285</v>
      </c>
      <c r="L37" s="10" t="s">
        <v>286</v>
      </c>
    </row>
    <row r="38" spans="1:12" ht="42" customHeight="1" x14ac:dyDescent="0.25">
      <c r="A38" s="7" t="s">
        <v>287</v>
      </c>
      <c r="B38" s="13" t="s">
        <v>90</v>
      </c>
      <c r="C38" s="9" t="s">
        <v>91</v>
      </c>
      <c r="D38" s="37" t="s">
        <v>41</v>
      </c>
      <c r="E38" s="36" t="s">
        <v>139</v>
      </c>
      <c r="F38" s="9" t="s">
        <v>33</v>
      </c>
      <c r="G38" s="10" t="s">
        <v>288</v>
      </c>
      <c r="H38" s="10" t="s">
        <v>124</v>
      </c>
      <c r="I38" s="10" t="s">
        <v>289</v>
      </c>
      <c r="J38" s="11" t="s">
        <v>290</v>
      </c>
      <c r="K38" s="10" t="s">
        <v>291</v>
      </c>
      <c r="L38" s="10" t="s">
        <v>292</v>
      </c>
    </row>
    <row r="39" spans="1:12" ht="42" customHeight="1" x14ac:dyDescent="0.25">
      <c r="A39" s="7" t="s">
        <v>293</v>
      </c>
      <c r="B39" s="13" t="s">
        <v>90</v>
      </c>
      <c r="C39" s="9" t="s">
        <v>91</v>
      </c>
      <c r="D39" s="37" t="s">
        <v>41</v>
      </c>
      <c r="E39" s="36" t="s">
        <v>294</v>
      </c>
      <c r="F39" s="9" t="s">
        <v>131</v>
      </c>
      <c r="G39" s="10" t="s">
        <v>295</v>
      </c>
      <c r="H39" s="10" t="s">
        <v>296</v>
      </c>
      <c r="I39" s="10" t="s">
        <v>297</v>
      </c>
      <c r="J39" s="11" t="s">
        <v>298</v>
      </c>
      <c r="K39" s="10" t="s">
        <v>299</v>
      </c>
      <c r="L39" s="10" t="s">
        <v>300</v>
      </c>
    </row>
    <row r="40" spans="1:12" ht="42" customHeight="1" x14ac:dyDescent="0.25">
      <c r="A40" s="7" t="s">
        <v>301</v>
      </c>
      <c r="B40" s="14" t="s">
        <v>202</v>
      </c>
      <c r="C40" s="9" t="s">
        <v>203</v>
      </c>
      <c r="D40" s="38" t="s">
        <v>52</v>
      </c>
      <c r="E40" s="36" t="s">
        <v>53</v>
      </c>
      <c r="F40" s="9" t="s">
        <v>33</v>
      </c>
      <c r="G40" s="10" t="s">
        <v>302</v>
      </c>
      <c r="H40" s="10" t="s">
        <v>70</v>
      </c>
      <c r="I40" s="10" t="s">
        <v>303</v>
      </c>
      <c r="J40" s="11" t="s">
        <v>304</v>
      </c>
      <c r="K40" s="10" t="s">
        <v>305</v>
      </c>
      <c r="L40" s="10" t="s">
        <v>306</v>
      </c>
    </row>
    <row r="41" spans="1:12" ht="42" customHeight="1" x14ac:dyDescent="0.25">
      <c r="A41" s="7" t="s">
        <v>307</v>
      </c>
      <c r="B41" s="14" t="s">
        <v>202</v>
      </c>
      <c r="C41" s="9" t="s">
        <v>203</v>
      </c>
      <c r="D41" s="38" t="s">
        <v>52</v>
      </c>
      <c r="E41" s="36" t="s">
        <v>53</v>
      </c>
      <c r="F41" s="9" t="s">
        <v>33</v>
      </c>
      <c r="G41" s="10" t="s">
        <v>308</v>
      </c>
      <c r="H41" s="10" t="s">
        <v>141</v>
      </c>
      <c r="I41" s="10" t="s">
        <v>309</v>
      </c>
      <c r="J41" s="11" t="s">
        <v>126</v>
      </c>
      <c r="K41" s="10" t="s">
        <v>310</v>
      </c>
      <c r="L41" s="10" t="s">
        <v>311</v>
      </c>
    </row>
    <row r="42" spans="1:12" ht="42" customHeight="1" x14ac:dyDescent="0.25">
      <c r="A42" s="7" t="s">
        <v>312</v>
      </c>
      <c r="B42" s="14" t="s">
        <v>202</v>
      </c>
      <c r="C42" s="9" t="s">
        <v>203</v>
      </c>
      <c r="D42" s="40" t="s">
        <v>313</v>
      </c>
      <c r="E42" s="36" t="s">
        <v>314</v>
      </c>
      <c r="F42" s="9" t="s">
        <v>33</v>
      </c>
      <c r="G42" s="10" t="s">
        <v>315</v>
      </c>
      <c r="H42" s="10" t="s">
        <v>163</v>
      </c>
      <c r="I42" s="10" t="s">
        <v>316</v>
      </c>
      <c r="J42" s="11" t="s">
        <v>317</v>
      </c>
      <c r="K42" s="10" t="s">
        <v>318</v>
      </c>
      <c r="L42" s="10" t="s">
        <v>319</v>
      </c>
    </row>
    <row r="43" spans="1:12" ht="42" customHeight="1" x14ac:dyDescent="0.25">
      <c r="A43" s="7" t="s">
        <v>320</v>
      </c>
      <c r="B43" s="14" t="s">
        <v>202</v>
      </c>
      <c r="C43" s="9" t="s">
        <v>203</v>
      </c>
      <c r="D43" s="37" t="s">
        <v>41</v>
      </c>
      <c r="E43" s="36" t="s">
        <v>184</v>
      </c>
      <c r="F43" s="9" t="s">
        <v>33</v>
      </c>
      <c r="G43" s="10" t="s">
        <v>321</v>
      </c>
      <c r="H43" s="10" t="s">
        <v>163</v>
      </c>
      <c r="I43" s="10" t="s">
        <v>322</v>
      </c>
      <c r="J43" s="11" t="s">
        <v>323</v>
      </c>
      <c r="K43" s="10" t="s">
        <v>324</v>
      </c>
      <c r="L43" s="10" t="s">
        <v>325</v>
      </c>
    </row>
    <row r="44" spans="1:12" ht="42" customHeight="1" x14ac:dyDescent="0.25">
      <c r="A44" s="7" t="s">
        <v>326</v>
      </c>
      <c r="B44" s="15" t="s">
        <v>327</v>
      </c>
      <c r="C44" s="9" t="s">
        <v>203</v>
      </c>
      <c r="D44" s="38" t="s">
        <v>52</v>
      </c>
      <c r="E44" s="36" t="s">
        <v>53</v>
      </c>
      <c r="F44" s="9" t="s">
        <v>33</v>
      </c>
      <c r="G44" s="10" t="s">
        <v>328</v>
      </c>
      <c r="H44" s="10" t="s">
        <v>93</v>
      </c>
      <c r="I44" s="10" t="s">
        <v>329</v>
      </c>
      <c r="J44" s="11" t="s">
        <v>164</v>
      </c>
      <c r="K44" s="10" t="s">
        <v>330</v>
      </c>
      <c r="L44" s="10" t="s">
        <v>331</v>
      </c>
    </row>
    <row r="45" spans="1:12" ht="42" customHeight="1" x14ac:dyDescent="0.25">
      <c r="A45" s="7" t="s">
        <v>332</v>
      </c>
      <c r="B45" s="15" t="s">
        <v>327</v>
      </c>
      <c r="C45" s="9" t="s">
        <v>203</v>
      </c>
      <c r="D45" s="37" t="s">
        <v>41</v>
      </c>
      <c r="E45" s="36" t="s">
        <v>333</v>
      </c>
      <c r="F45" s="9" t="s">
        <v>33</v>
      </c>
      <c r="G45" s="10" t="s">
        <v>334</v>
      </c>
      <c r="H45" s="10" t="s">
        <v>163</v>
      </c>
      <c r="I45" s="10" t="s">
        <v>335</v>
      </c>
      <c r="J45" s="11" t="s">
        <v>164</v>
      </c>
      <c r="K45" s="10" t="s">
        <v>336</v>
      </c>
      <c r="L45" s="10" t="s">
        <v>337</v>
      </c>
    </row>
    <row r="46" spans="1:12" ht="42" customHeight="1" x14ac:dyDescent="0.25">
      <c r="A46" s="7" t="s">
        <v>338</v>
      </c>
      <c r="B46" s="12" t="s">
        <v>50</v>
      </c>
      <c r="C46" s="9" t="s">
        <v>51</v>
      </c>
      <c r="D46" s="37" t="s">
        <v>41</v>
      </c>
      <c r="E46" s="36" t="s">
        <v>339</v>
      </c>
      <c r="F46" s="9" t="s">
        <v>33</v>
      </c>
      <c r="G46" s="10" t="s">
        <v>340</v>
      </c>
      <c r="H46" s="10" t="s">
        <v>124</v>
      </c>
      <c r="I46" s="10" t="s">
        <v>341</v>
      </c>
      <c r="J46" s="11" t="s">
        <v>342</v>
      </c>
      <c r="K46" s="10" t="s">
        <v>343</v>
      </c>
      <c r="L46" s="10" t="s">
        <v>344</v>
      </c>
    </row>
    <row r="47" spans="1:12" ht="42" customHeight="1" x14ac:dyDescent="0.25">
      <c r="A47" s="7" t="s">
        <v>345</v>
      </c>
      <c r="B47" s="12" t="s">
        <v>50</v>
      </c>
      <c r="C47" s="9" t="s">
        <v>51</v>
      </c>
      <c r="D47" s="37" t="s">
        <v>41</v>
      </c>
      <c r="E47" s="36" t="s">
        <v>346</v>
      </c>
      <c r="F47" s="9" t="s">
        <v>33</v>
      </c>
      <c r="G47" s="10" t="s">
        <v>347</v>
      </c>
      <c r="H47" s="10" t="s">
        <v>124</v>
      </c>
      <c r="I47" s="10" t="s">
        <v>348</v>
      </c>
      <c r="J47" s="11" t="s">
        <v>349</v>
      </c>
      <c r="K47" s="10" t="s">
        <v>350</v>
      </c>
      <c r="L47" s="10" t="s">
        <v>351</v>
      </c>
    </row>
    <row r="48" spans="1:12" ht="42" customHeight="1" x14ac:dyDescent="0.25">
      <c r="A48" s="7" t="s">
        <v>352</v>
      </c>
      <c r="B48" s="12" t="s">
        <v>50</v>
      </c>
      <c r="C48" s="9" t="s">
        <v>51</v>
      </c>
      <c r="D48" s="37" t="s">
        <v>41</v>
      </c>
      <c r="E48" s="36" t="s">
        <v>353</v>
      </c>
      <c r="F48" s="9" t="s">
        <v>33</v>
      </c>
      <c r="G48" s="10" t="s">
        <v>354</v>
      </c>
      <c r="H48" s="10" t="s">
        <v>124</v>
      </c>
      <c r="I48" s="10" t="s">
        <v>355</v>
      </c>
      <c r="J48" s="11" t="s">
        <v>46</v>
      </c>
      <c r="K48" s="10" t="s">
        <v>356</v>
      </c>
      <c r="L48" s="10" t="s">
        <v>357</v>
      </c>
    </row>
    <row r="49" spans="1:12" ht="42" customHeight="1" x14ac:dyDescent="0.25">
      <c r="A49" s="7" t="s">
        <v>358</v>
      </c>
      <c r="B49" s="13" t="s">
        <v>90</v>
      </c>
      <c r="C49" s="9" t="s">
        <v>91</v>
      </c>
      <c r="D49" s="37" t="s">
        <v>41</v>
      </c>
      <c r="E49" s="36" t="s">
        <v>359</v>
      </c>
      <c r="F49" s="9" t="s">
        <v>33</v>
      </c>
      <c r="G49" s="10" t="s">
        <v>360</v>
      </c>
      <c r="H49" s="10" t="s">
        <v>148</v>
      </c>
      <c r="I49" s="10" t="s">
        <v>361</v>
      </c>
      <c r="J49" s="11" t="s">
        <v>362</v>
      </c>
      <c r="K49" s="10" t="s">
        <v>363</v>
      </c>
      <c r="L49" s="10" t="s">
        <v>364</v>
      </c>
    </row>
    <row r="50" spans="1:12" ht="42" customHeight="1" x14ac:dyDescent="0.25">
      <c r="A50" s="7" t="s">
        <v>365</v>
      </c>
      <c r="B50" s="13" t="s">
        <v>90</v>
      </c>
      <c r="C50" s="9" t="s">
        <v>91</v>
      </c>
      <c r="D50" s="38" t="s">
        <v>52</v>
      </c>
      <c r="E50" s="36" t="s">
        <v>53</v>
      </c>
      <c r="F50" s="9" t="s">
        <v>33</v>
      </c>
      <c r="G50" s="10" t="s">
        <v>366</v>
      </c>
      <c r="H50" s="10" t="s">
        <v>124</v>
      </c>
      <c r="I50" s="10" t="s">
        <v>367</v>
      </c>
      <c r="J50" s="11" t="s">
        <v>368</v>
      </c>
      <c r="K50" s="10" t="s">
        <v>369</v>
      </c>
      <c r="L50" s="10" t="s">
        <v>370</v>
      </c>
    </row>
    <row r="51" spans="1:12" ht="42" customHeight="1" x14ac:dyDescent="0.25">
      <c r="A51" s="7" t="s">
        <v>371</v>
      </c>
      <c r="B51" s="14" t="s">
        <v>202</v>
      </c>
      <c r="C51" s="9" t="s">
        <v>203</v>
      </c>
      <c r="D51" s="37" t="s">
        <v>41</v>
      </c>
      <c r="E51" s="36" t="s">
        <v>333</v>
      </c>
      <c r="F51" s="9" t="s">
        <v>33</v>
      </c>
      <c r="G51" s="10" t="s">
        <v>372</v>
      </c>
      <c r="H51" s="10" t="s">
        <v>373</v>
      </c>
      <c r="I51" s="10" t="s">
        <v>374</v>
      </c>
      <c r="J51" s="11" t="s">
        <v>375</v>
      </c>
      <c r="K51" s="10" t="s">
        <v>376</v>
      </c>
      <c r="L51" s="10" t="s">
        <v>377</v>
      </c>
    </row>
    <row r="52" spans="1:12" ht="42" customHeight="1" x14ac:dyDescent="0.25">
      <c r="A52" s="7" t="s">
        <v>378</v>
      </c>
      <c r="B52" s="12" t="s">
        <v>50</v>
      </c>
      <c r="C52" s="9" t="s">
        <v>51</v>
      </c>
      <c r="D52" s="37" t="s">
        <v>41</v>
      </c>
      <c r="E52" s="36" t="s">
        <v>379</v>
      </c>
      <c r="F52" s="9" t="s">
        <v>33</v>
      </c>
      <c r="G52" s="10" t="s">
        <v>380</v>
      </c>
      <c r="H52" s="10" t="s">
        <v>70</v>
      </c>
      <c r="I52" s="10" t="s">
        <v>381</v>
      </c>
      <c r="J52" s="11" t="s">
        <v>382</v>
      </c>
      <c r="K52" s="10" t="s">
        <v>383</v>
      </c>
      <c r="L52" s="10" t="s">
        <v>384</v>
      </c>
    </row>
    <row r="53" spans="1:12" ht="42" customHeight="1" x14ac:dyDescent="0.25">
      <c r="A53" s="7" t="s">
        <v>385</v>
      </c>
      <c r="B53" s="12" t="s">
        <v>50</v>
      </c>
      <c r="C53" s="9" t="s">
        <v>51</v>
      </c>
      <c r="D53" s="40" t="s">
        <v>313</v>
      </c>
      <c r="E53" s="36" t="s">
        <v>386</v>
      </c>
      <c r="F53" s="9" t="s">
        <v>33</v>
      </c>
      <c r="G53" s="10" t="s">
        <v>387</v>
      </c>
      <c r="H53" s="10" t="s">
        <v>156</v>
      </c>
      <c r="I53" s="10" t="s">
        <v>388</v>
      </c>
      <c r="J53" s="11" t="s">
        <v>389</v>
      </c>
      <c r="K53" s="10" t="s">
        <v>390</v>
      </c>
      <c r="L53" s="10" t="s">
        <v>391</v>
      </c>
    </row>
    <row r="54" spans="1:12" ht="42" customHeight="1" x14ac:dyDescent="0.25">
      <c r="A54" s="7" t="s">
        <v>392</v>
      </c>
      <c r="B54" s="12" t="s">
        <v>50</v>
      </c>
      <c r="C54" s="9" t="s">
        <v>51</v>
      </c>
      <c r="D54" s="38" t="s">
        <v>52</v>
      </c>
      <c r="E54" s="36" t="s">
        <v>53</v>
      </c>
      <c r="F54" s="9" t="s">
        <v>33</v>
      </c>
      <c r="G54" s="10" t="s">
        <v>393</v>
      </c>
      <c r="H54" s="10" t="s">
        <v>148</v>
      </c>
      <c r="I54" s="10" t="s">
        <v>394</v>
      </c>
      <c r="J54" s="11" t="s">
        <v>395</v>
      </c>
      <c r="K54" s="10" t="s">
        <v>396</v>
      </c>
      <c r="L54" s="10" t="s">
        <v>397</v>
      </c>
    </row>
    <row r="55" spans="1:12" ht="42" customHeight="1" x14ac:dyDescent="0.25">
      <c r="A55" s="7" t="s">
        <v>398</v>
      </c>
      <c r="B55" s="13" t="s">
        <v>90</v>
      </c>
      <c r="C55" s="9" t="s">
        <v>91</v>
      </c>
      <c r="D55" s="38" t="s">
        <v>52</v>
      </c>
      <c r="E55" s="36" t="s">
        <v>53</v>
      </c>
      <c r="F55" s="9" t="s">
        <v>33</v>
      </c>
      <c r="G55" s="10" t="s">
        <v>399</v>
      </c>
      <c r="H55" s="10" t="s">
        <v>84</v>
      </c>
      <c r="I55" s="10" t="s">
        <v>400</v>
      </c>
      <c r="J55" s="11" t="s">
        <v>401</v>
      </c>
      <c r="K55" s="10" t="s">
        <v>402</v>
      </c>
      <c r="L55" s="10" t="s">
        <v>403</v>
      </c>
    </row>
    <row r="56" spans="1:12" ht="42" customHeight="1" x14ac:dyDescent="0.25">
      <c r="A56" s="7" t="s">
        <v>404</v>
      </c>
      <c r="B56" s="15" t="s">
        <v>327</v>
      </c>
      <c r="C56" s="9" t="s">
        <v>51</v>
      </c>
      <c r="D56" s="38" t="s">
        <v>52</v>
      </c>
      <c r="E56" s="36" t="s">
        <v>53</v>
      </c>
      <c r="F56" s="9" t="s">
        <v>33</v>
      </c>
      <c r="G56" s="10" t="s">
        <v>405</v>
      </c>
      <c r="H56" s="10" t="s">
        <v>406</v>
      </c>
      <c r="I56" s="10" t="s">
        <v>407</v>
      </c>
      <c r="J56" s="11" t="s">
        <v>164</v>
      </c>
      <c r="K56" s="10" t="s">
        <v>408</v>
      </c>
      <c r="L56" s="10" t="s">
        <v>409</v>
      </c>
    </row>
  </sheetData>
  <autoFilter ref="A1:L56" xr:uid="{00000000-0009-0000-0000-000001000000}"/>
  <dataValidations count="1">
    <dataValidation type="list" errorTitle="Valor EH no valido" error="Usa uno de: SÍ, PROBABLE, ENMASCARADO, SOLO INTERNO, NO" sqref="D2:D56" xr:uid="{00000000-0002-0000-0100-000000000000}">
      <formula1>"SÍ,PROBABLE,ENMASCARADO,SOLO INTERNO,NO"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6"/>
  <sheetViews>
    <sheetView showGridLines="0" workbookViewId="0">
      <pane ySplit="11" topLeftCell="A12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9" customWidth="1"/>
    <col min="4" max="4" width="54" customWidth="1"/>
    <col min="5" max="5" width="15" customWidth="1"/>
    <col min="6" max="7" width="18" customWidth="1"/>
    <col min="8" max="8" width="16" customWidth="1"/>
    <col min="9" max="9" width="17" customWidth="1"/>
    <col min="10" max="10" width="44" customWidth="1"/>
  </cols>
  <sheetData>
    <row r="1" spans="1:10" ht="27.95" customHeight="1" x14ac:dyDescent="0.25">
      <c r="A1" s="45" t="s">
        <v>410</v>
      </c>
      <c r="B1" s="42"/>
      <c r="C1" s="42"/>
      <c r="D1" s="42"/>
      <c r="E1" s="42"/>
      <c r="F1" s="42"/>
      <c r="G1" s="42"/>
      <c r="H1" s="42"/>
      <c r="I1" s="42"/>
      <c r="J1" s="42"/>
    </row>
    <row r="3" spans="1:10" ht="30" customHeight="1" x14ac:dyDescent="0.25">
      <c r="A3" s="16" t="s">
        <v>411</v>
      </c>
      <c r="B3" s="47" t="s">
        <v>412</v>
      </c>
      <c r="C3" s="42"/>
      <c r="D3" s="42"/>
      <c r="E3" s="42"/>
      <c r="F3" s="42"/>
      <c r="G3" s="42"/>
      <c r="H3" s="42"/>
      <c r="I3" s="42"/>
      <c r="J3" s="42"/>
    </row>
    <row r="4" spans="1:10" ht="30" customHeight="1" x14ac:dyDescent="0.25">
      <c r="A4" s="16" t="s">
        <v>413</v>
      </c>
      <c r="B4" s="47" t="s">
        <v>414</v>
      </c>
      <c r="C4" s="42"/>
      <c r="D4" s="42"/>
      <c r="E4" s="42"/>
      <c r="F4" s="42"/>
      <c r="G4" s="42"/>
      <c r="H4" s="42"/>
      <c r="I4" s="42"/>
      <c r="J4" s="42"/>
    </row>
    <row r="5" spans="1:10" ht="30" customHeight="1" x14ac:dyDescent="0.25">
      <c r="A5" s="16" t="s">
        <v>415</v>
      </c>
      <c r="B5" s="47" t="s">
        <v>416</v>
      </c>
      <c r="C5" s="42"/>
      <c r="D5" s="42"/>
      <c r="E5" s="42"/>
      <c r="F5" s="42"/>
      <c r="G5" s="42"/>
      <c r="H5" s="42"/>
      <c r="I5" s="42"/>
      <c r="J5" s="42"/>
    </row>
    <row r="6" spans="1:10" ht="30" customHeight="1" x14ac:dyDescent="0.25">
      <c r="A6" s="16" t="s">
        <v>417</v>
      </c>
      <c r="B6" s="47" t="s">
        <v>418</v>
      </c>
      <c r="C6" s="42"/>
      <c r="D6" s="42"/>
      <c r="E6" s="42"/>
      <c r="F6" s="42"/>
      <c r="G6" s="42"/>
      <c r="H6" s="42"/>
      <c r="I6" s="42"/>
      <c r="J6" s="42"/>
    </row>
    <row r="7" spans="1:10" ht="30" customHeight="1" x14ac:dyDescent="0.25">
      <c r="A7" s="16" t="s">
        <v>419</v>
      </c>
      <c r="B7" s="46" t="s">
        <v>420</v>
      </c>
      <c r="C7" s="42"/>
      <c r="D7" s="42"/>
      <c r="E7" s="42"/>
      <c r="F7" s="42"/>
      <c r="G7" s="42"/>
      <c r="H7" s="42"/>
      <c r="I7" s="42"/>
      <c r="J7" s="42"/>
    </row>
    <row r="11" spans="1:10" ht="30" customHeight="1" x14ac:dyDescent="0.25">
      <c r="A11" s="6" t="s">
        <v>16</v>
      </c>
      <c r="B11" s="6" t="s">
        <v>17</v>
      </c>
      <c r="C11" s="6" t="s">
        <v>18</v>
      </c>
      <c r="D11" s="6" t="s">
        <v>22</v>
      </c>
      <c r="E11" s="6" t="s">
        <v>421</v>
      </c>
      <c r="F11" s="6" t="s">
        <v>422</v>
      </c>
      <c r="G11" s="6" t="s">
        <v>423</v>
      </c>
      <c r="H11" s="6" t="s">
        <v>424</v>
      </c>
      <c r="I11" s="6" t="s">
        <v>425</v>
      </c>
      <c r="J11" s="6" t="s">
        <v>426</v>
      </c>
    </row>
    <row r="12" spans="1:10" ht="30" customHeight="1" x14ac:dyDescent="0.25">
      <c r="A12" s="7" t="s">
        <v>28</v>
      </c>
      <c r="B12" s="8" t="s">
        <v>29</v>
      </c>
      <c r="C12" s="9" t="s">
        <v>30</v>
      </c>
      <c r="D12" s="10" t="s">
        <v>34</v>
      </c>
      <c r="E12" s="17" t="s">
        <v>427</v>
      </c>
      <c r="F12" s="18"/>
      <c r="G12" s="18"/>
      <c r="H12" s="18"/>
      <c r="I12" s="19"/>
      <c r="J12" s="20"/>
    </row>
    <row r="13" spans="1:10" ht="30" customHeight="1" x14ac:dyDescent="0.25">
      <c r="A13" s="7" t="s">
        <v>40</v>
      </c>
      <c r="B13" s="8" t="s">
        <v>29</v>
      </c>
      <c r="C13" s="9" t="s">
        <v>30</v>
      </c>
      <c r="D13" s="10" t="s">
        <v>43</v>
      </c>
      <c r="E13" s="17" t="s">
        <v>427</v>
      </c>
      <c r="F13" s="18"/>
      <c r="G13" s="18"/>
      <c r="H13" s="18"/>
      <c r="I13" s="19"/>
      <c r="J13" s="20"/>
    </row>
    <row r="14" spans="1:10" ht="30" customHeight="1" x14ac:dyDescent="0.25">
      <c r="A14" s="7" t="s">
        <v>49</v>
      </c>
      <c r="B14" s="12" t="s">
        <v>50</v>
      </c>
      <c r="C14" s="9" t="s">
        <v>51</v>
      </c>
      <c r="D14" s="10" t="s">
        <v>54</v>
      </c>
      <c r="E14" s="17" t="s">
        <v>427</v>
      </c>
      <c r="F14" s="18"/>
      <c r="G14" s="18"/>
      <c r="H14" s="18"/>
      <c r="I14" s="19"/>
      <c r="J14" s="20"/>
    </row>
    <row r="15" spans="1:10" ht="30" customHeight="1" x14ac:dyDescent="0.25">
      <c r="A15" s="7" t="s">
        <v>60</v>
      </c>
      <c r="B15" s="8" t="s">
        <v>29</v>
      </c>
      <c r="C15" s="9" t="s">
        <v>30</v>
      </c>
      <c r="D15" s="10" t="s">
        <v>61</v>
      </c>
      <c r="E15" s="17" t="s">
        <v>427</v>
      </c>
      <c r="F15" s="18"/>
      <c r="G15" s="18"/>
      <c r="H15" s="18"/>
      <c r="I15" s="19"/>
      <c r="J15" s="20"/>
    </row>
    <row r="16" spans="1:10" ht="30" customHeight="1" x14ac:dyDescent="0.25">
      <c r="A16" s="7" t="s">
        <v>67</v>
      </c>
      <c r="B16" s="8" t="s">
        <v>29</v>
      </c>
      <c r="C16" s="9" t="s">
        <v>30</v>
      </c>
      <c r="D16" s="10" t="s">
        <v>69</v>
      </c>
      <c r="E16" s="17" t="s">
        <v>427</v>
      </c>
      <c r="F16" s="18"/>
      <c r="G16" s="18"/>
      <c r="H16" s="18"/>
      <c r="I16" s="19"/>
      <c r="J16" s="20"/>
    </row>
    <row r="17" spans="1:10" ht="30" customHeight="1" x14ac:dyDescent="0.25">
      <c r="A17" s="7" t="s">
        <v>75</v>
      </c>
      <c r="B17" s="8" t="s">
        <v>29</v>
      </c>
      <c r="C17" s="9" t="s">
        <v>30</v>
      </c>
      <c r="D17" s="10" t="s">
        <v>76</v>
      </c>
      <c r="E17" s="17" t="s">
        <v>427</v>
      </c>
      <c r="F17" s="18"/>
      <c r="G17" s="18"/>
      <c r="H17" s="18"/>
      <c r="I17" s="19"/>
      <c r="J17" s="20"/>
    </row>
    <row r="18" spans="1:10" ht="30" customHeight="1" x14ac:dyDescent="0.25">
      <c r="A18" s="7" t="s">
        <v>82</v>
      </c>
      <c r="B18" s="8" t="s">
        <v>29</v>
      </c>
      <c r="C18" s="9" t="s">
        <v>30</v>
      </c>
      <c r="D18" s="10" t="s">
        <v>83</v>
      </c>
      <c r="E18" s="17" t="s">
        <v>427</v>
      </c>
      <c r="F18" s="18"/>
      <c r="G18" s="18"/>
      <c r="H18" s="18"/>
      <c r="I18" s="19"/>
      <c r="J18" s="20"/>
    </row>
    <row r="19" spans="1:10" ht="30" customHeight="1" x14ac:dyDescent="0.25">
      <c r="A19" s="7" t="s">
        <v>89</v>
      </c>
      <c r="B19" s="13" t="s">
        <v>90</v>
      </c>
      <c r="C19" s="9" t="s">
        <v>91</v>
      </c>
      <c r="D19" s="10" t="s">
        <v>92</v>
      </c>
      <c r="E19" s="17" t="s">
        <v>427</v>
      </c>
      <c r="F19" s="18"/>
      <c r="G19" s="18"/>
      <c r="H19" s="18"/>
      <c r="I19" s="19"/>
      <c r="J19" s="20"/>
    </row>
    <row r="20" spans="1:10" ht="30" customHeight="1" x14ac:dyDescent="0.25">
      <c r="A20" s="7" t="s">
        <v>98</v>
      </c>
      <c r="B20" s="8" t="s">
        <v>29</v>
      </c>
      <c r="C20" s="9" t="s">
        <v>30</v>
      </c>
      <c r="D20" s="10" t="s">
        <v>100</v>
      </c>
      <c r="E20" s="17" t="s">
        <v>427</v>
      </c>
      <c r="F20" s="18"/>
      <c r="G20" s="18"/>
      <c r="H20" s="18"/>
      <c r="I20" s="19"/>
      <c r="J20" s="20"/>
    </row>
    <row r="21" spans="1:10" ht="30" customHeight="1" x14ac:dyDescent="0.25">
      <c r="A21" s="7" t="s">
        <v>105</v>
      </c>
      <c r="B21" s="12" t="s">
        <v>50</v>
      </c>
      <c r="C21" s="9" t="s">
        <v>51</v>
      </c>
      <c r="D21" s="10" t="s">
        <v>106</v>
      </c>
      <c r="E21" s="17" t="s">
        <v>427</v>
      </c>
      <c r="F21" s="18"/>
      <c r="G21" s="18"/>
      <c r="H21" s="18"/>
      <c r="I21" s="19"/>
      <c r="J21" s="20"/>
    </row>
    <row r="22" spans="1:10" ht="30" customHeight="1" x14ac:dyDescent="0.25">
      <c r="A22" s="7" t="s">
        <v>110</v>
      </c>
      <c r="B22" s="12" t="s">
        <v>50</v>
      </c>
      <c r="C22" s="9" t="s">
        <v>51</v>
      </c>
      <c r="D22" s="10" t="s">
        <v>111</v>
      </c>
      <c r="E22" s="17" t="s">
        <v>427</v>
      </c>
      <c r="F22" s="18"/>
      <c r="G22" s="18"/>
      <c r="H22" s="18"/>
      <c r="I22" s="19"/>
      <c r="J22" s="20"/>
    </row>
    <row r="23" spans="1:10" ht="30" customHeight="1" x14ac:dyDescent="0.25">
      <c r="A23" s="7" t="s">
        <v>116</v>
      </c>
      <c r="B23" s="12" t="s">
        <v>50</v>
      </c>
      <c r="C23" s="9" t="s">
        <v>51</v>
      </c>
      <c r="D23" s="10" t="s">
        <v>117</v>
      </c>
      <c r="E23" s="17" t="s">
        <v>427</v>
      </c>
      <c r="F23" s="18"/>
      <c r="G23" s="18"/>
      <c r="H23" s="18"/>
      <c r="I23" s="19"/>
      <c r="J23" s="20"/>
    </row>
    <row r="24" spans="1:10" ht="30" customHeight="1" x14ac:dyDescent="0.25">
      <c r="A24" s="7" t="s">
        <v>121</v>
      </c>
      <c r="B24" s="12" t="s">
        <v>50</v>
      </c>
      <c r="C24" s="9" t="s">
        <v>51</v>
      </c>
      <c r="D24" s="10" t="s">
        <v>123</v>
      </c>
      <c r="E24" s="17" t="s">
        <v>427</v>
      </c>
      <c r="F24" s="18"/>
      <c r="G24" s="18"/>
      <c r="H24" s="18"/>
      <c r="I24" s="19"/>
      <c r="J24" s="20"/>
    </row>
    <row r="25" spans="1:10" ht="30" customHeight="1" x14ac:dyDescent="0.25">
      <c r="A25" s="7" t="s">
        <v>129</v>
      </c>
      <c r="B25" s="12" t="s">
        <v>50</v>
      </c>
      <c r="C25" s="9" t="s">
        <v>51</v>
      </c>
      <c r="D25" s="10" t="s">
        <v>132</v>
      </c>
      <c r="E25" s="17" t="s">
        <v>427</v>
      </c>
      <c r="F25" s="18"/>
      <c r="G25" s="18"/>
      <c r="H25" s="18"/>
      <c r="I25" s="19"/>
      <c r="J25" s="20"/>
    </row>
    <row r="26" spans="1:10" ht="30" customHeight="1" x14ac:dyDescent="0.25">
      <c r="A26" s="7" t="s">
        <v>137</v>
      </c>
      <c r="B26" s="13" t="s">
        <v>90</v>
      </c>
      <c r="C26" s="9" t="s">
        <v>91</v>
      </c>
      <c r="D26" s="10" t="s">
        <v>140</v>
      </c>
      <c r="E26" s="17" t="s">
        <v>427</v>
      </c>
      <c r="F26" s="18"/>
      <c r="G26" s="18"/>
      <c r="H26" s="18"/>
      <c r="I26" s="19"/>
      <c r="J26" s="20"/>
    </row>
    <row r="27" spans="1:10" ht="30" customHeight="1" x14ac:dyDescent="0.25">
      <c r="A27" s="7" t="s">
        <v>146</v>
      </c>
      <c r="B27" s="12" t="s">
        <v>50</v>
      </c>
      <c r="C27" s="9" t="s">
        <v>51</v>
      </c>
      <c r="D27" s="10" t="s">
        <v>147</v>
      </c>
      <c r="E27" s="17" t="s">
        <v>427</v>
      </c>
      <c r="F27" s="18"/>
      <c r="G27" s="18"/>
      <c r="H27" s="18"/>
      <c r="I27" s="19"/>
      <c r="J27" s="20"/>
    </row>
    <row r="28" spans="1:10" ht="30" customHeight="1" x14ac:dyDescent="0.25">
      <c r="A28" s="7" t="s">
        <v>153</v>
      </c>
      <c r="B28" s="12" t="s">
        <v>50</v>
      </c>
      <c r="C28" s="9" t="s">
        <v>51</v>
      </c>
      <c r="D28" s="10" t="s">
        <v>155</v>
      </c>
      <c r="E28" s="17" t="s">
        <v>427</v>
      </c>
      <c r="F28" s="18"/>
      <c r="G28" s="18"/>
      <c r="H28" s="18"/>
      <c r="I28" s="19"/>
      <c r="J28" s="20"/>
    </row>
    <row r="29" spans="1:10" ht="30" customHeight="1" x14ac:dyDescent="0.25">
      <c r="A29" s="7" t="s">
        <v>161</v>
      </c>
      <c r="B29" s="12" t="s">
        <v>50</v>
      </c>
      <c r="C29" s="9" t="s">
        <v>51</v>
      </c>
      <c r="D29" s="10" t="s">
        <v>162</v>
      </c>
      <c r="E29" s="17" t="s">
        <v>427</v>
      </c>
      <c r="F29" s="18"/>
      <c r="G29" s="18"/>
      <c r="H29" s="18"/>
      <c r="I29" s="19"/>
      <c r="J29" s="20"/>
    </row>
    <row r="30" spans="1:10" ht="30" customHeight="1" x14ac:dyDescent="0.25">
      <c r="A30" s="7" t="s">
        <v>168</v>
      </c>
      <c r="B30" s="12" t="s">
        <v>50</v>
      </c>
      <c r="C30" s="9" t="s">
        <v>51</v>
      </c>
      <c r="D30" s="10" t="s">
        <v>170</v>
      </c>
      <c r="E30" s="17" t="s">
        <v>427</v>
      </c>
      <c r="F30" s="18"/>
      <c r="G30" s="18"/>
      <c r="H30" s="18"/>
      <c r="I30" s="19"/>
      <c r="J30" s="20"/>
    </row>
    <row r="31" spans="1:10" ht="30" customHeight="1" x14ac:dyDescent="0.25">
      <c r="A31" s="7" t="s">
        <v>175</v>
      </c>
      <c r="B31" s="12" t="s">
        <v>50</v>
      </c>
      <c r="C31" s="9" t="s">
        <v>51</v>
      </c>
      <c r="D31" s="10" t="s">
        <v>177</v>
      </c>
      <c r="E31" s="17" t="s">
        <v>427</v>
      </c>
      <c r="F31" s="18"/>
      <c r="G31" s="18"/>
      <c r="H31" s="18"/>
      <c r="I31" s="19"/>
      <c r="J31" s="20"/>
    </row>
    <row r="32" spans="1:10" ht="30" customHeight="1" x14ac:dyDescent="0.25">
      <c r="A32" s="7" t="s">
        <v>183</v>
      </c>
      <c r="B32" s="12" t="s">
        <v>50</v>
      </c>
      <c r="C32" s="9" t="s">
        <v>51</v>
      </c>
      <c r="D32" s="10" t="s">
        <v>185</v>
      </c>
      <c r="E32" s="17" t="s">
        <v>427</v>
      </c>
      <c r="F32" s="18"/>
      <c r="G32" s="18"/>
      <c r="H32" s="18"/>
      <c r="I32" s="19"/>
      <c r="J32" s="20"/>
    </row>
    <row r="33" spans="1:10" ht="30" customHeight="1" x14ac:dyDescent="0.25">
      <c r="A33" s="7" t="s">
        <v>189</v>
      </c>
      <c r="B33" s="13" t="s">
        <v>90</v>
      </c>
      <c r="C33" s="9" t="s">
        <v>91</v>
      </c>
      <c r="D33" s="10" t="s">
        <v>190</v>
      </c>
      <c r="E33" s="17" t="s">
        <v>427</v>
      </c>
      <c r="F33" s="18"/>
      <c r="G33" s="18"/>
      <c r="H33" s="18"/>
      <c r="I33" s="19"/>
      <c r="J33" s="20"/>
    </row>
    <row r="34" spans="1:10" ht="30" customHeight="1" x14ac:dyDescent="0.25">
      <c r="A34" s="7" t="s">
        <v>195</v>
      </c>
      <c r="B34" s="13" t="s">
        <v>90</v>
      </c>
      <c r="C34" s="9" t="s">
        <v>91</v>
      </c>
      <c r="D34" s="10" t="s">
        <v>196</v>
      </c>
      <c r="E34" s="17" t="s">
        <v>427</v>
      </c>
      <c r="F34" s="18"/>
      <c r="G34" s="18"/>
      <c r="H34" s="18"/>
      <c r="I34" s="19"/>
      <c r="J34" s="20"/>
    </row>
    <row r="35" spans="1:10" ht="30" customHeight="1" x14ac:dyDescent="0.25">
      <c r="A35" s="7" t="s">
        <v>201</v>
      </c>
      <c r="B35" s="14" t="s">
        <v>202</v>
      </c>
      <c r="C35" s="9" t="s">
        <v>203</v>
      </c>
      <c r="D35" s="10" t="s">
        <v>204</v>
      </c>
      <c r="E35" s="17" t="s">
        <v>427</v>
      </c>
      <c r="F35" s="18"/>
      <c r="G35" s="18"/>
      <c r="H35" s="18"/>
      <c r="I35" s="19"/>
      <c r="J35" s="20"/>
    </row>
    <row r="36" spans="1:10" ht="30" customHeight="1" x14ac:dyDescent="0.25">
      <c r="A36" s="7" t="s">
        <v>208</v>
      </c>
      <c r="B36" s="13" t="s">
        <v>90</v>
      </c>
      <c r="C36" s="9" t="s">
        <v>91</v>
      </c>
      <c r="D36" s="10" t="s">
        <v>210</v>
      </c>
      <c r="E36" s="17" t="s">
        <v>427</v>
      </c>
      <c r="F36" s="18"/>
      <c r="G36" s="18"/>
      <c r="H36" s="18"/>
      <c r="I36" s="19"/>
      <c r="J36" s="20"/>
    </row>
    <row r="37" spans="1:10" ht="30" customHeight="1" x14ac:dyDescent="0.25">
      <c r="A37" s="7" t="s">
        <v>215</v>
      </c>
      <c r="B37" s="13" t="s">
        <v>90</v>
      </c>
      <c r="C37" s="9" t="s">
        <v>91</v>
      </c>
      <c r="D37" s="10" t="s">
        <v>217</v>
      </c>
      <c r="E37" s="17" t="s">
        <v>427</v>
      </c>
      <c r="F37" s="18"/>
      <c r="G37" s="18"/>
      <c r="H37" s="18"/>
      <c r="I37" s="19"/>
      <c r="J37" s="20"/>
    </row>
    <row r="38" spans="1:10" ht="30" customHeight="1" x14ac:dyDescent="0.25">
      <c r="A38" s="7" t="s">
        <v>223</v>
      </c>
      <c r="B38" s="13" t="s">
        <v>90</v>
      </c>
      <c r="C38" s="9" t="s">
        <v>91</v>
      </c>
      <c r="D38" s="10" t="s">
        <v>224</v>
      </c>
      <c r="E38" s="17" t="s">
        <v>427</v>
      </c>
      <c r="F38" s="18"/>
      <c r="G38" s="18"/>
      <c r="H38" s="18"/>
      <c r="I38" s="19"/>
      <c r="J38" s="20"/>
    </row>
    <row r="39" spans="1:10" ht="30" customHeight="1" x14ac:dyDescent="0.25">
      <c r="A39" s="7" t="s">
        <v>230</v>
      </c>
      <c r="B39" s="13" t="s">
        <v>90</v>
      </c>
      <c r="C39" s="9" t="s">
        <v>91</v>
      </c>
      <c r="D39" s="10" t="s">
        <v>232</v>
      </c>
      <c r="E39" s="17" t="s">
        <v>427</v>
      </c>
      <c r="F39" s="18"/>
      <c r="G39" s="18"/>
      <c r="H39" s="18"/>
      <c r="I39" s="19"/>
      <c r="J39" s="20"/>
    </row>
    <row r="40" spans="1:10" ht="30" customHeight="1" x14ac:dyDescent="0.25">
      <c r="A40" s="7" t="s">
        <v>238</v>
      </c>
      <c r="B40" s="13" t="s">
        <v>90</v>
      </c>
      <c r="C40" s="9" t="s">
        <v>91</v>
      </c>
      <c r="D40" s="10" t="s">
        <v>239</v>
      </c>
      <c r="E40" s="17" t="s">
        <v>427</v>
      </c>
      <c r="F40" s="18"/>
      <c r="G40" s="18"/>
      <c r="H40" s="18"/>
      <c r="I40" s="19"/>
      <c r="J40" s="20"/>
    </row>
    <row r="41" spans="1:10" ht="30" customHeight="1" x14ac:dyDescent="0.25">
      <c r="A41" s="7" t="s">
        <v>244</v>
      </c>
      <c r="B41" s="13" t="s">
        <v>90</v>
      </c>
      <c r="C41" s="9" t="s">
        <v>91</v>
      </c>
      <c r="D41" s="10" t="s">
        <v>246</v>
      </c>
      <c r="E41" s="17" t="s">
        <v>427</v>
      </c>
      <c r="F41" s="18"/>
      <c r="G41" s="18"/>
      <c r="H41" s="18"/>
      <c r="I41" s="19"/>
      <c r="J41" s="20"/>
    </row>
    <row r="42" spans="1:10" ht="30" customHeight="1" x14ac:dyDescent="0.25">
      <c r="A42" s="7" t="s">
        <v>251</v>
      </c>
      <c r="B42" s="13" t="s">
        <v>90</v>
      </c>
      <c r="C42" s="9" t="s">
        <v>91</v>
      </c>
      <c r="D42" s="10" t="s">
        <v>252</v>
      </c>
      <c r="E42" s="17" t="s">
        <v>427</v>
      </c>
      <c r="F42" s="18"/>
      <c r="G42" s="18"/>
      <c r="H42" s="18"/>
      <c r="I42" s="19"/>
      <c r="J42" s="20"/>
    </row>
    <row r="43" spans="1:10" ht="30" customHeight="1" x14ac:dyDescent="0.25">
      <c r="A43" s="7" t="s">
        <v>257</v>
      </c>
      <c r="B43" s="13" t="s">
        <v>90</v>
      </c>
      <c r="C43" s="9" t="s">
        <v>91</v>
      </c>
      <c r="D43" s="10" t="s">
        <v>258</v>
      </c>
      <c r="E43" s="17" t="s">
        <v>427</v>
      </c>
      <c r="F43" s="18"/>
      <c r="G43" s="18"/>
      <c r="H43" s="18"/>
      <c r="I43" s="19"/>
      <c r="J43" s="20"/>
    </row>
    <row r="44" spans="1:10" ht="30" customHeight="1" x14ac:dyDescent="0.25">
      <c r="A44" s="7" t="s">
        <v>263</v>
      </c>
      <c r="B44" s="13" t="s">
        <v>90</v>
      </c>
      <c r="C44" s="9" t="s">
        <v>91</v>
      </c>
      <c r="D44" s="10" t="s">
        <v>264</v>
      </c>
      <c r="E44" s="17" t="s">
        <v>427</v>
      </c>
      <c r="F44" s="18"/>
      <c r="G44" s="18"/>
      <c r="H44" s="18"/>
      <c r="I44" s="19"/>
      <c r="J44" s="20"/>
    </row>
    <row r="45" spans="1:10" ht="30" customHeight="1" x14ac:dyDescent="0.25">
      <c r="A45" s="7" t="s">
        <v>269</v>
      </c>
      <c r="B45" s="13" t="s">
        <v>90</v>
      </c>
      <c r="C45" s="9" t="s">
        <v>91</v>
      </c>
      <c r="D45" s="10" t="s">
        <v>270</v>
      </c>
      <c r="E45" s="17" t="s">
        <v>427</v>
      </c>
      <c r="F45" s="18"/>
      <c r="G45" s="18"/>
      <c r="H45" s="18"/>
      <c r="I45" s="19"/>
      <c r="J45" s="20"/>
    </row>
    <row r="46" spans="1:10" ht="30" customHeight="1" x14ac:dyDescent="0.25">
      <c r="A46" s="7" t="s">
        <v>275</v>
      </c>
      <c r="B46" s="13" t="s">
        <v>90</v>
      </c>
      <c r="C46" s="9" t="s">
        <v>91</v>
      </c>
      <c r="D46" s="10" t="s">
        <v>277</v>
      </c>
      <c r="E46" s="17" t="s">
        <v>427</v>
      </c>
      <c r="F46" s="18"/>
      <c r="G46" s="18"/>
      <c r="H46" s="18"/>
      <c r="I46" s="19"/>
      <c r="J46" s="20"/>
    </row>
    <row r="47" spans="1:10" ht="30" customHeight="1" x14ac:dyDescent="0.25">
      <c r="A47" s="7" t="s">
        <v>282</v>
      </c>
      <c r="B47" s="13" t="s">
        <v>90</v>
      </c>
      <c r="C47" s="9" t="s">
        <v>91</v>
      </c>
      <c r="D47" s="10" t="s">
        <v>283</v>
      </c>
      <c r="E47" s="17" t="s">
        <v>427</v>
      </c>
      <c r="F47" s="18"/>
      <c r="G47" s="18"/>
      <c r="H47" s="18"/>
      <c r="I47" s="19"/>
      <c r="J47" s="20"/>
    </row>
    <row r="48" spans="1:10" ht="30" customHeight="1" x14ac:dyDescent="0.25">
      <c r="A48" s="7" t="s">
        <v>287</v>
      </c>
      <c r="B48" s="13" t="s">
        <v>90</v>
      </c>
      <c r="C48" s="9" t="s">
        <v>91</v>
      </c>
      <c r="D48" s="10" t="s">
        <v>288</v>
      </c>
      <c r="E48" s="17" t="s">
        <v>427</v>
      </c>
      <c r="F48" s="18"/>
      <c r="G48" s="18"/>
      <c r="H48" s="18"/>
      <c r="I48" s="19"/>
      <c r="J48" s="20"/>
    </row>
    <row r="49" spans="1:10" ht="30" customHeight="1" x14ac:dyDescent="0.25">
      <c r="A49" s="7" t="s">
        <v>293</v>
      </c>
      <c r="B49" s="13" t="s">
        <v>90</v>
      </c>
      <c r="C49" s="9" t="s">
        <v>91</v>
      </c>
      <c r="D49" s="10" t="s">
        <v>295</v>
      </c>
      <c r="E49" s="17" t="s">
        <v>427</v>
      </c>
      <c r="F49" s="18"/>
      <c r="G49" s="18"/>
      <c r="H49" s="18"/>
      <c r="I49" s="19"/>
      <c r="J49" s="20"/>
    </row>
    <row r="50" spans="1:10" ht="30" customHeight="1" x14ac:dyDescent="0.25">
      <c r="A50" s="7" t="s">
        <v>301</v>
      </c>
      <c r="B50" s="14" t="s">
        <v>202</v>
      </c>
      <c r="C50" s="9" t="s">
        <v>203</v>
      </c>
      <c r="D50" s="10" t="s">
        <v>302</v>
      </c>
      <c r="E50" s="17" t="s">
        <v>427</v>
      </c>
      <c r="F50" s="18"/>
      <c r="G50" s="18"/>
      <c r="H50" s="18"/>
      <c r="I50" s="19"/>
      <c r="J50" s="20"/>
    </row>
    <row r="51" spans="1:10" ht="30" customHeight="1" x14ac:dyDescent="0.25">
      <c r="A51" s="7" t="s">
        <v>307</v>
      </c>
      <c r="B51" s="14" t="s">
        <v>202</v>
      </c>
      <c r="C51" s="9" t="s">
        <v>203</v>
      </c>
      <c r="D51" s="10" t="s">
        <v>308</v>
      </c>
      <c r="E51" s="17" t="s">
        <v>427</v>
      </c>
      <c r="F51" s="18"/>
      <c r="G51" s="18"/>
      <c r="H51" s="18"/>
      <c r="I51" s="19"/>
      <c r="J51" s="20"/>
    </row>
    <row r="52" spans="1:10" ht="30" customHeight="1" x14ac:dyDescent="0.25">
      <c r="A52" s="7" t="s">
        <v>312</v>
      </c>
      <c r="B52" s="14" t="s">
        <v>202</v>
      </c>
      <c r="C52" s="9" t="s">
        <v>203</v>
      </c>
      <c r="D52" s="10" t="s">
        <v>315</v>
      </c>
      <c r="E52" s="17" t="s">
        <v>427</v>
      </c>
      <c r="F52" s="18"/>
      <c r="G52" s="18"/>
      <c r="H52" s="18"/>
      <c r="I52" s="19"/>
      <c r="J52" s="20"/>
    </row>
    <row r="53" spans="1:10" ht="30" customHeight="1" x14ac:dyDescent="0.25">
      <c r="A53" s="7" t="s">
        <v>320</v>
      </c>
      <c r="B53" s="14" t="s">
        <v>202</v>
      </c>
      <c r="C53" s="9" t="s">
        <v>203</v>
      </c>
      <c r="D53" s="10" t="s">
        <v>321</v>
      </c>
      <c r="E53" s="17" t="s">
        <v>427</v>
      </c>
      <c r="F53" s="18"/>
      <c r="G53" s="18"/>
      <c r="H53" s="18"/>
      <c r="I53" s="19"/>
      <c r="J53" s="20"/>
    </row>
    <row r="54" spans="1:10" ht="30" customHeight="1" x14ac:dyDescent="0.25">
      <c r="A54" s="7" t="s">
        <v>326</v>
      </c>
      <c r="B54" s="15" t="s">
        <v>327</v>
      </c>
      <c r="C54" s="9" t="s">
        <v>203</v>
      </c>
      <c r="D54" s="10" t="s">
        <v>328</v>
      </c>
      <c r="E54" s="17" t="s">
        <v>427</v>
      </c>
      <c r="F54" s="18"/>
      <c r="G54" s="18"/>
      <c r="H54" s="18"/>
      <c r="I54" s="19"/>
      <c r="J54" s="20"/>
    </row>
    <row r="55" spans="1:10" ht="30" customHeight="1" x14ac:dyDescent="0.25">
      <c r="A55" s="7" t="s">
        <v>332</v>
      </c>
      <c r="B55" s="15" t="s">
        <v>327</v>
      </c>
      <c r="C55" s="9" t="s">
        <v>203</v>
      </c>
      <c r="D55" s="10" t="s">
        <v>334</v>
      </c>
      <c r="E55" s="17" t="s">
        <v>427</v>
      </c>
      <c r="F55" s="18"/>
      <c r="G55" s="18"/>
      <c r="H55" s="18"/>
      <c r="I55" s="19"/>
      <c r="J55" s="20"/>
    </row>
    <row r="56" spans="1:10" ht="30" customHeight="1" x14ac:dyDescent="0.25">
      <c r="A56" s="7" t="s">
        <v>338</v>
      </c>
      <c r="B56" s="12" t="s">
        <v>50</v>
      </c>
      <c r="C56" s="9" t="s">
        <v>51</v>
      </c>
      <c r="D56" s="10" t="s">
        <v>340</v>
      </c>
      <c r="E56" s="17" t="s">
        <v>427</v>
      </c>
      <c r="F56" s="18"/>
      <c r="G56" s="18"/>
      <c r="H56" s="18"/>
      <c r="I56" s="19"/>
      <c r="J56" s="20"/>
    </row>
    <row r="57" spans="1:10" ht="30" customHeight="1" x14ac:dyDescent="0.25">
      <c r="A57" s="7" t="s">
        <v>345</v>
      </c>
      <c r="B57" s="12" t="s">
        <v>50</v>
      </c>
      <c r="C57" s="9" t="s">
        <v>51</v>
      </c>
      <c r="D57" s="10" t="s">
        <v>347</v>
      </c>
      <c r="E57" s="17" t="s">
        <v>427</v>
      </c>
      <c r="F57" s="18"/>
      <c r="G57" s="18"/>
      <c r="H57" s="18"/>
      <c r="I57" s="19"/>
      <c r="J57" s="20"/>
    </row>
    <row r="58" spans="1:10" ht="30" customHeight="1" x14ac:dyDescent="0.25">
      <c r="A58" s="7" t="s">
        <v>352</v>
      </c>
      <c r="B58" s="12" t="s">
        <v>50</v>
      </c>
      <c r="C58" s="9" t="s">
        <v>51</v>
      </c>
      <c r="D58" s="10" t="s">
        <v>354</v>
      </c>
      <c r="E58" s="17" t="s">
        <v>427</v>
      </c>
      <c r="F58" s="18"/>
      <c r="G58" s="18"/>
      <c r="H58" s="18"/>
      <c r="I58" s="19"/>
      <c r="J58" s="20"/>
    </row>
    <row r="59" spans="1:10" ht="30" customHeight="1" x14ac:dyDescent="0.25">
      <c r="A59" s="7" t="s">
        <v>358</v>
      </c>
      <c r="B59" s="13" t="s">
        <v>90</v>
      </c>
      <c r="C59" s="9" t="s">
        <v>91</v>
      </c>
      <c r="D59" s="10" t="s">
        <v>360</v>
      </c>
      <c r="E59" s="17" t="s">
        <v>427</v>
      </c>
      <c r="F59" s="18"/>
      <c r="G59" s="18"/>
      <c r="H59" s="18"/>
      <c r="I59" s="19"/>
      <c r="J59" s="20"/>
    </row>
    <row r="60" spans="1:10" ht="30" customHeight="1" x14ac:dyDescent="0.25">
      <c r="A60" s="7" t="s">
        <v>365</v>
      </c>
      <c r="B60" s="13" t="s">
        <v>90</v>
      </c>
      <c r="C60" s="9" t="s">
        <v>91</v>
      </c>
      <c r="D60" s="10" t="s">
        <v>366</v>
      </c>
      <c r="E60" s="17" t="s">
        <v>427</v>
      </c>
      <c r="F60" s="18"/>
      <c r="G60" s="18"/>
      <c r="H60" s="18"/>
      <c r="I60" s="19"/>
      <c r="J60" s="20"/>
    </row>
    <row r="61" spans="1:10" ht="30" customHeight="1" x14ac:dyDescent="0.25">
      <c r="A61" s="7" t="s">
        <v>371</v>
      </c>
      <c r="B61" s="14" t="s">
        <v>202</v>
      </c>
      <c r="C61" s="9" t="s">
        <v>203</v>
      </c>
      <c r="D61" s="10" t="s">
        <v>372</v>
      </c>
      <c r="E61" s="17" t="s">
        <v>427</v>
      </c>
      <c r="F61" s="18"/>
      <c r="G61" s="18"/>
      <c r="H61" s="18"/>
      <c r="I61" s="19"/>
      <c r="J61" s="20"/>
    </row>
    <row r="62" spans="1:10" ht="30" customHeight="1" x14ac:dyDescent="0.25">
      <c r="A62" s="7" t="s">
        <v>378</v>
      </c>
      <c r="B62" s="12" t="s">
        <v>50</v>
      </c>
      <c r="C62" s="9" t="s">
        <v>51</v>
      </c>
      <c r="D62" s="10" t="s">
        <v>380</v>
      </c>
      <c r="E62" s="17" t="s">
        <v>427</v>
      </c>
      <c r="F62" s="18"/>
      <c r="G62" s="18"/>
      <c r="H62" s="18"/>
      <c r="I62" s="19"/>
      <c r="J62" s="20"/>
    </row>
    <row r="63" spans="1:10" ht="30" customHeight="1" x14ac:dyDescent="0.25">
      <c r="A63" s="7" t="s">
        <v>385</v>
      </c>
      <c r="B63" s="12" t="s">
        <v>50</v>
      </c>
      <c r="C63" s="9" t="s">
        <v>51</v>
      </c>
      <c r="D63" s="10" t="s">
        <v>387</v>
      </c>
      <c r="E63" s="17" t="s">
        <v>427</v>
      </c>
      <c r="F63" s="18"/>
      <c r="G63" s="18"/>
      <c r="H63" s="18"/>
      <c r="I63" s="19"/>
      <c r="J63" s="20"/>
    </row>
    <row r="64" spans="1:10" ht="30" customHeight="1" x14ac:dyDescent="0.25">
      <c r="A64" s="7" t="s">
        <v>392</v>
      </c>
      <c r="B64" s="12" t="s">
        <v>50</v>
      </c>
      <c r="C64" s="9" t="s">
        <v>51</v>
      </c>
      <c r="D64" s="10" t="s">
        <v>393</v>
      </c>
      <c r="E64" s="17" t="s">
        <v>427</v>
      </c>
      <c r="F64" s="18"/>
      <c r="G64" s="18"/>
      <c r="H64" s="18"/>
      <c r="I64" s="19"/>
      <c r="J64" s="20"/>
    </row>
    <row r="65" spans="1:10" ht="30" customHeight="1" x14ac:dyDescent="0.25">
      <c r="A65" s="7" t="s">
        <v>398</v>
      </c>
      <c r="B65" s="13" t="s">
        <v>90</v>
      </c>
      <c r="C65" s="9" t="s">
        <v>91</v>
      </c>
      <c r="D65" s="10" t="s">
        <v>399</v>
      </c>
      <c r="E65" s="17" t="s">
        <v>427</v>
      </c>
      <c r="F65" s="18"/>
      <c r="G65" s="18"/>
      <c r="H65" s="18"/>
      <c r="I65" s="19"/>
      <c r="J65" s="20"/>
    </row>
    <row r="66" spans="1:10" ht="30" customHeight="1" x14ac:dyDescent="0.25">
      <c r="A66" s="7" t="s">
        <v>404</v>
      </c>
      <c r="B66" s="15" t="s">
        <v>327</v>
      </c>
      <c r="C66" s="9" t="s">
        <v>51</v>
      </c>
      <c r="D66" s="10" t="s">
        <v>405</v>
      </c>
      <c r="E66" s="17" t="s">
        <v>427</v>
      </c>
      <c r="F66" s="18"/>
      <c r="G66" s="18"/>
      <c r="H66" s="18"/>
      <c r="I66" s="19"/>
      <c r="J66" s="20"/>
    </row>
  </sheetData>
  <autoFilter ref="A11:J66" xr:uid="{00000000-0009-0000-0000-000002000000}"/>
  <mergeCells count="6">
    <mergeCell ref="B7:J7"/>
    <mergeCell ref="A1:J1"/>
    <mergeCell ref="B3:J3"/>
    <mergeCell ref="B5:J5"/>
    <mergeCell ref="B4:J4"/>
    <mergeCell ref="B6:J6"/>
  </mergeCells>
  <dataValidations count="1">
    <dataValidation type="list" errorTitle="Estado no valido" error="Usa uno de los estados de la leyenda." sqref="E12:E66" xr:uid="{00000000-0002-0000-0200-000000000000}">
      <formula1>"ABIERTO,EN CURSO,EN REVISION,CERRADO,ASUMIDO,NO APLICA"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1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22" customWidth="1"/>
    <col min="3" max="4" width="12" customWidth="1"/>
    <col min="5" max="5" width="4" customWidth="1"/>
    <col min="6" max="6" width="22" customWidth="1"/>
    <col min="7" max="7" width="12" customWidth="1"/>
    <col min="9" max="9" width="4" customWidth="1"/>
    <col min="10" max="10" width="24" customWidth="1"/>
    <col min="11" max="11" width="12" customWidth="1"/>
  </cols>
  <sheetData>
    <row r="2" spans="2:11" ht="27.95" customHeight="1" x14ac:dyDescent="0.25">
      <c r="B2" s="45" t="s">
        <v>428</v>
      </c>
      <c r="C2" s="42"/>
      <c r="D2" s="42"/>
      <c r="E2" s="42"/>
      <c r="F2" s="42"/>
      <c r="G2" s="42"/>
      <c r="H2" s="42"/>
      <c r="I2" s="42"/>
      <c r="J2" s="42"/>
      <c r="K2" s="42"/>
    </row>
    <row r="4" spans="2:11" x14ac:dyDescent="0.25">
      <c r="B4" s="41" t="s">
        <v>429</v>
      </c>
      <c r="C4" s="42"/>
      <c r="D4" s="42"/>
      <c r="F4" s="41" t="s">
        <v>430</v>
      </c>
      <c r="G4" s="42"/>
      <c r="J4" s="41" t="s">
        <v>421</v>
      </c>
      <c r="K4" s="42"/>
    </row>
    <row r="5" spans="2:11" ht="30" customHeight="1" x14ac:dyDescent="0.25">
      <c r="B5" s="21" t="s">
        <v>17</v>
      </c>
      <c r="C5" s="21" t="s">
        <v>431</v>
      </c>
      <c r="D5" s="21" t="s">
        <v>432</v>
      </c>
      <c r="F5" s="21" t="s">
        <v>18</v>
      </c>
      <c r="G5" s="21" t="s">
        <v>431</v>
      </c>
      <c r="J5" s="21" t="s">
        <v>421</v>
      </c>
      <c r="K5" s="21" t="s">
        <v>431</v>
      </c>
    </row>
    <row r="6" spans="2:11" x14ac:dyDescent="0.25">
      <c r="B6" s="22" t="s">
        <v>29</v>
      </c>
      <c r="C6" s="23">
        <f>COUNTIF(Hallazgos!$B$2:$B$56,$B6)</f>
        <v>7</v>
      </c>
      <c r="D6" s="24">
        <f>IFERROR(C6/$C$11,0)</f>
        <v>0.12727272727272726</v>
      </c>
      <c r="F6" s="25" t="s">
        <v>30</v>
      </c>
      <c r="G6" s="23">
        <f>COUNTIF(Hallazgos!$C$2:$C$56,$F6)</f>
        <v>7</v>
      </c>
      <c r="J6" s="26" t="s">
        <v>427</v>
      </c>
      <c r="K6" s="23">
        <f>COUNTIF(Seguimiento!$E$12:$E$66,$J6)</f>
        <v>55</v>
      </c>
    </row>
    <row r="7" spans="2:11" x14ac:dyDescent="0.25">
      <c r="B7" s="27" t="s">
        <v>50</v>
      </c>
      <c r="C7" s="23">
        <f>COUNTIF(Hallazgos!$B$2:$B$56,$B7)</f>
        <v>18</v>
      </c>
      <c r="D7" s="24">
        <f>IFERROR(C7/$C$11,0)</f>
        <v>0.32727272727272727</v>
      </c>
      <c r="F7" s="25" t="s">
        <v>51</v>
      </c>
      <c r="G7" s="23">
        <f>COUNTIF(Hallazgos!$C$2:$C$56,$F7)</f>
        <v>19</v>
      </c>
      <c r="J7" s="26" t="s">
        <v>433</v>
      </c>
      <c r="K7" s="23">
        <f>COUNTIF(Seguimiento!$E$12:$E$66,$J7)</f>
        <v>0</v>
      </c>
    </row>
    <row r="8" spans="2:11" x14ac:dyDescent="0.25">
      <c r="B8" s="28" t="s">
        <v>90</v>
      </c>
      <c r="C8" s="23">
        <f>COUNTIF(Hallazgos!$B$2:$B$56,$B8)</f>
        <v>21</v>
      </c>
      <c r="D8" s="24">
        <f>IFERROR(C8/$C$11,0)</f>
        <v>0.38181818181818183</v>
      </c>
      <c r="F8" s="25" t="s">
        <v>91</v>
      </c>
      <c r="G8" s="23">
        <f>COUNTIF(Hallazgos!$C$2:$C$56,$F8)</f>
        <v>21</v>
      </c>
      <c r="J8" s="26" t="s">
        <v>434</v>
      </c>
      <c r="K8" s="23">
        <f>COUNTIF(Seguimiento!$E$12:$E$66,$J8)</f>
        <v>0</v>
      </c>
    </row>
    <row r="9" spans="2:11" x14ac:dyDescent="0.25">
      <c r="B9" s="29" t="s">
        <v>202</v>
      </c>
      <c r="C9" s="23">
        <f>COUNTIF(Hallazgos!$B$2:$B$56,$B9)</f>
        <v>6</v>
      </c>
      <c r="D9" s="24">
        <f>IFERROR(C9/$C$11,0)</f>
        <v>0.10909090909090909</v>
      </c>
      <c r="F9" s="25" t="s">
        <v>203</v>
      </c>
      <c r="G9" s="23">
        <f>COUNTIF(Hallazgos!$C$2:$C$56,$F9)</f>
        <v>8</v>
      </c>
      <c r="J9" s="26" t="s">
        <v>435</v>
      </c>
      <c r="K9" s="23">
        <f>COUNTIF(Seguimiento!$E$12:$E$66,$J9)</f>
        <v>0</v>
      </c>
    </row>
    <row r="10" spans="2:11" x14ac:dyDescent="0.25">
      <c r="B10" s="30" t="s">
        <v>327</v>
      </c>
      <c r="C10" s="23">
        <f>COUNTIF(Hallazgos!$B$2:$B$56,$B10)</f>
        <v>3</v>
      </c>
      <c r="D10" s="24">
        <f>IFERROR(C10/$C$11,0)</f>
        <v>5.4545454545454543E-2</v>
      </c>
      <c r="J10" s="26" t="s">
        <v>436</v>
      </c>
      <c r="K10" s="23">
        <f>COUNTIF(Seguimiento!$E$12:$E$66,$J10)</f>
        <v>0</v>
      </c>
    </row>
    <row r="11" spans="2:11" x14ac:dyDescent="0.25">
      <c r="B11" s="31" t="s">
        <v>437</v>
      </c>
      <c r="C11" s="31">
        <f>SUM(C6:C10)</f>
        <v>55</v>
      </c>
      <c r="D11" s="32">
        <f>IFERROR(SUM(D6:D10),0)</f>
        <v>1</v>
      </c>
      <c r="J11" s="26" t="s">
        <v>438</v>
      </c>
      <c r="K11" s="23">
        <f>COUNTIF(Seguimiento!$E$12:$E$66,$J11)</f>
        <v>0</v>
      </c>
    </row>
  </sheetData>
  <mergeCells count="4">
    <mergeCell ref="F4:G4"/>
    <mergeCell ref="J4:K4"/>
    <mergeCell ref="B4:D4"/>
    <mergeCell ref="B2:K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2" width="44" customWidth="1"/>
    <col min="3" max="3" width="26" customWidth="1"/>
    <col min="4" max="5" width="11" customWidth="1"/>
    <col min="6" max="6" width="60" customWidth="1"/>
  </cols>
  <sheetData>
    <row r="1" spans="1:6" ht="27.95" customHeight="1" x14ac:dyDescent="0.25">
      <c r="A1" s="45" t="s">
        <v>439</v>
      </c>
      <c r="B1" s="42"/>
      <c r="C1" s="42"/>
      <c r="D1" s="42"/>
      <c r="E1" s="42"/>
      <c r="F1" s="42"/>
    </row>
    <row r="3" spans="1:6" ht="30" customHeight="1" x14ac:dyDescent="0.25">
      <c r="A3" s="21" t="s">
        <v>440</v>
      </c>
      <c r="B3" s="21" t="s">
        <v>26</v>
      </c>
      <c r="C3" s="21" t="s">
        <v>8</v>
      </c>
      <c r="D3" s="21" t="s">
        <v>441</v>
      </c>
      <c r="E3" s="21" t="s">
        <v>442</v>
      </c>
      <c r="F3" s="21" t="s">
        <v>443</v>
      </c>
    </row>
    <row r="4" spans="1:6" ht="33.950000000000003" customHeight="1" x14ac:dyDescent="0.25">
      <c r="A4" s="33" t="s">
        <v>444</v>
      </c>
      <c r="B4" s="34" t="s">
        <v>445</v>
      </c>
      <c r="C4" s="34" t="s">
        <v>446</v>
      </c>
      <c r="D4" s="33" t="s">
        <v>447</v>
      </c>
      <c r="E4" s="33" t="s">
        <v>448</v>
      </c>
      <c r="F4" s="34" t="s">
        <v>449</v>
      </c>
    </row>
    <row r="5" spans="1:6" ht="33.950000000000003" customHeight="1" x14ac:dyDescent="0.25">
      <c r="A5" s="33" t="s">
        <v>450</v>
      </c>
      <c r="B5" s="34" t="s">
        <v>451</v>
      </c>
      <c r="C5" s="34" t="s">
        <v>452</v>
      </c>
      <c r="D5" s="33" t="s">
        <v>447</v>
      </c>
      <c r="E5" s="33" t="s">
        <v>448</v>
      </c>
      <c r="F5" s="34" t="s">
        <v>453</v>
      </c>
    </row>
    <row r="6" spans="1:6" ht="33.950000000000003" customHeight="1" x14ac:dyDescent="0.25">
      <c r="A6" s="33" t="s">
        <v>454</v>
      </c>
      <c r="B6" s="34" t="s">
        <v>455</v>
      </c>
      <c r="C6" s="34" t="s">
        <v>456</v>
      </c>
      <c r="D6" s="33" t="s">
        <v>447</v>
      </c>
      <c r="E6" s="33" t="s">
        <v>448</v>
      </c>
      <c r="F6" s="34" t="s">
        <v>457</v>
      </c>
    </row>
    <row r="7" spans="1:6" ht="33.950000000000003" customHeight="1" x14ac:dyDescent="0.25">
      <c r="A7" s="33" t="s">
        <v>458</v>
      </c>
      <c r="B7" s="34" t="s">
        <v>459</v>
      </c>
      <c r="C7" s="34" t="s">
        <v>460</v>
      </c>
      <c r="D7" s="33" t="s">
        <v>447</v>
      </c>
      <c r="E7" s="33" t="s">
        <v>461</v>
      </c>
      <c r="F7" s="34" t="s">
        <v>462</v>
      </c>
    </row>
    <row r="8" spans="1:6" ht="33.950000000000003" customHeight="1" x14ac:dyDescent="0.25">
      <c r="A8" s="33" t="s">
        <v>463</v>
      </c>
      <c r="B8" s="34" t="s">
        <v>464</v>
      </c>
      <c r="C8" s="34" t="s">
        <v>98</v>
      </c>
      <c r="D8" s="33" t="s">
        <v>447</v>
      </c>
      <c r="E8" s="33" t="s">
        <v>461</v>
      </c>
      <c r="F8" s="34" t="s">
        <v>465</v>
      </c>
    </row>
    <row r="9" spans="1:6" ht="33.950000000000003" customHeight="1" x14ac:dyDescent="0.25">
      <c r="A9" s="33" t="s">
        <v>466</v>
      </c>
      <c r="B9" s="34" t="s">
        <v>467</v>
      </c>
      <c r="C9" s="34" t="s">
        <v>468</v>
      </c>
      <c r="D9" s="33" t="s">
        <v>469</v>
      </c>
      <c r="E9" s="33" t="s">
        <v>448</v>
      </c>
      <c r="F9" s="34" t="s">
        <v>470</v>
      </c>
    </row>
    <row r="10" spans="1:6" ht="33.950000000000003" customHeight="1" x14ac:dyDescent="0.25">
      <c r="A10" s="33" t="s">
        <v>471</v>
      </c>
      <c r="B10" s="34" t="s">
        <v>472</v>
      </c>
      <c r="C10" s="34" t="s">
        <v>60</v>
      </c>
      <c r="D10" s="33" t="s">
        <v>469</v>
      </c>
      <c r="E10" s="33" t="s">
        <v>448</v>
      </c>
      <c r="F10" s="34" t="s">
        <v>473</v>
      </c>
    </row>
    <row r="11" spans="1:6" ht="33.950000000000003" customHeight="1" x14ac:dyDescent="0.25">
      <c r="A11" s="33" t="s">
        <v>474</v>
      </c>
      <c r="B11" s="34" t="s">
        <v>475</v>
      </c>
      <c r="C11" s="34" t="s">
        <v>476</v>
      </c>
      <c r="D11" s="33" t="s">
        <v>469</v>
      </c>
      <c r="E11" s="33" t="s">
        <v>461</v>
      </c>
      <c r="F11" s="34" t="s">
        <v>477</v>
      </c>
    </row>
    <row r="12" spans="1:6" ht="33.950000000000003" customHeight="1" x14ac:dyDescent="0.25">
      <c r="A12" s="33" t="s">
        <v>478</v>
      </c>
      <c r="B12" s="34" t="s">
        <v>479</v>
      </c>
      <c r="C12" s="34" t="s">
        <v>480</v>
      </c>
      <c r="D12" s="33" t="s">
        <v>469</v>
      </c>
      <c r="E12" s="33" t="s">
        <v>461</v>
      </c>
      <c r="F12" s="34" t="s">
        <v>481</v>
      </c>
    </row>
    <row r="13" spans="1:6" ht="33.950000000000003" customHeight="1" x14ac:dyDescent="0.25">
      <c r="A13" s="33" t="s">
        <v>482</v>
      </c>
      <c r="B13" s="34" t="s">
        <v>483</v>
      </c>
      <c r="C13" s="34" t="s">
        <v>484</v>
      </c>
      <c r="D13" s="33" t="s">
        <v>469</v>
      </c>
      <c r="E13" s="33" t="s">
        <v>461</v>
      </c>
      <c r="F13" s="34" t="s">
        <v>485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showGridLines="0" workbookViewId="0"/>
  </sheetViews>
  <sheetFormatPr baseColWidth="10" defaultColWidth="9.140625" defaultRowHeight="15" x14ac:dyDescent="0.25"/>
  <cols>
    <col min="1" max="1" width="5" customWidth="1"/>
    <col min="2" max="2" width="60" customWidth="1"/>
    <col min="3" max="3" width="12" customWidth="1"/>
    <col min="4" max="4" width="18" customWidth="1"/>
    <col min="5" max="5" width="50" customWidth="1"/>
  </cols>
  <sheetData>
    <row r="1" spans="1:5" ht="27.95" customHeight="1" x14ac:dyDescent="0.25">
      <c r="A1" s="45" t="s">
        <v>486</v>
      </c>
      <c r="B1" s="42"/>
      <c r="C1" s="42"/>
      <c r="D1" s="42"/>
      <c r="E1" s="42"/>
    </row>
    <row r="3" spans="1:5" ht="30" customHeight="1" x14ac:dyDescent="0.25">
      <c r="A3" s="21" t="s">
        <v>440</v>
      </c>
      <c r="B3" s="21" t="s">
        <v>487</v>
      </c>
      <c r="C3" s="21" t="s">
        <v>488</v>
      </c>
      <c r="D3" s="21" t="s">
        <v>22</v>
      </c>
      <c r="E3" s="21" t="s">
        <v>489</v>
      </c>
    </row>
    <row r="4" spans="1:5" ht="33.950000000000003" customHeight="1" x14ac:dyDescent="0.25">
      <c r="A4" s="33" t="s">
        <v>444</v>
      </c>
      <c r="B4" s="34" t="s">
        <v>490</v>
      </c>
      <c r="C4" s="33" t="s">
        <v>491</v>
      </c>
      <c r="D4" s="33" t="s">
        <v>492</v>
      </c>
      <c r="E4" s="34" t="s">
        <v>493</v>
      </c>
    </row>
    <row r="5" spans="1:5" ht="33.950000000000003" customHeight="1" x14ac:dyDescent="0.25">
      <c r="A5" s="33" t="s">
        <v>450</v>
      </c>
      <c r="B5" s="34" t="s">
        <v>494</v>
      </c>
      <c r="C5" s="33" t="s">
        <v>495</v>
      </c>
      <c r="D5" s="33" t="s">
        <v>75</v>
      </c>
      <c r="E5" s="34" t="s">
        <v>496</v>
      </c>
    </row>
    <row r="6" spans="1:5" ht="33.950000000000003" customHeight="1" x14ac:dyDescent="0.25">
      <c r="A6" s="33" t="s">
        <v>454</v>
      </c>
      <c r="B6" s="34" t="s">
        <v>497</v>
      </c>
      <c r="C6" s="33" t="s">
        <v>495</v>
      </c>
      <c r="D6" s="33" t="s">
        <v>498</v>
      </c>
      <c r="E6" s="34" t="s">
        <v>499</v>
      </c>
    </row>
    <row r="7" spans="1:5" ht="33.950000000000003" customHeight="1" x14ac:dyDescent="0.25">
      <c r="A7" s="33" t="s">
        <v>458</v>
      </c>
      <c r="B7" s="34" t="s">
        <v>500</v>
      </c>
      <c r="C7" s="33" t="s">
        <v>501</v>
      </c>
      <c r="D7" s="33" t="s">
        <v>116</v>
      </c>
      <c r="E7" s="34" t="s">
        <v>502</v>
      </c>
    </row>
    <row r="8" spans="1:5" ht="33.950000000000003" customHeight="1" x14ac:dyDescent="0.25">
      <c r="A8" s="33" t="s">
        <v>463</v>
      </c>
      <c r="B8" s="34" t="s">
        <v>503</v>
      </c>
      <c r="C8" s="33" t="s">
        <v>495</v>
      </c>
      <c r="D8" s="33" t="s">
        <v>183</v>
      </c>
      <c r="E8" s="34" t="s">
        <v>504</v>
      </c>
    </row>
    <row r="9" spans="1:5" ht="33.950000000000003" customHeight="1" x14ac:dyDescent="0.25">
      <c r="A9" s="33" t="s">
        <v>466</v>
      </c>
      <c r="B9" s="34" t="s">
        <v>505</v>
      </c>
      <c r="C9" s="33" t="s">
        <v>501</v>
      </c>
      <c r="D9" s="33" t="s">
        <v>201</v>
      </c>
      <c r="E9" s="34" t="s">
        <v>506</v>
      </c>
    </row>
    <row r="10" spans="1:5" ht="33.950000000000003" customHeight="1" x14ac:dyDescent="0.25">
      <c r="A10" s="33" t="s">
        <v>471</v>
      </c>
      <c r="B10" s="34" t="s">
        <v>507</v>
      </c>
      <c r="C10" s="33" t="s">
        <v>508</v>
      </c>
      <c r="D10" s="33" t="s">
        <v>137</v>
      </c>
      <c r="E10" s="34" t="s">
        <v>509</v>
      </c>
    </row>
    <row r="11" spans="1:5" ht="33.950000000000003" customHeight="1" x14ac:dyDescent="0.25">
      <c r="A11" s="33" t="s">
        <v>474</v>
      </c>
      <c r="B11" s="34" t="s">
        <v>510</v>
      </c>
      <c r="C11" s="33" t="s">
        <v>495</v>
      </c>
      <c r="D11" s="33" t="s">
        <v>121</v>
      </c>
      <c r="E11" s="34" t="s">
        <v>511</v>
      </c>
    </row>
    <row r="12" spans="1:5" ht="33.950000000000003" customHeight="1" x14ac:dyDescent="0.25">
      <c r="A12" s="33" t="s">
        <v>478</v>
      </c>
      <c r="B12" s="34" t="s">
        <v>512</v>
      </c>
      <c r="C12" s="33" t="s">
        <v>501</v>
      </c>
      <c r="D12" s="33" t="s">
        <v>230</v>
      </c>
      <c r="E12" s="34" t="s">
        <v>513</v>
      </c>
    </row>
    <row r="13" spans="1:5" ht="33.950000000000003" customHeight="1" x14ac:dyDescent="0.25">
      <c r="A13" s="33" t="s">
        <v>482</v>
      </c>
      <c r="B13" s="34" t="s">
        <v>514</v>
      </c>
      <c r="C13" s="33" t="s">
        <v>501</v>
      </c>
      <c r="D13" s="33" t="s">
        <v>244</v>
      </c>
      <c r="E13" s="34" t="s">
        <v>515</v>
      </c>
    </row>
    <row r="14" spans="1:5" ht="33.950000000000003" customHeight="1" x14ac:dyDescent="0.25">
      <c r="A14" s="33" t="s">
        <v>516</v>
      </c>
      <c r="B14" s="34" t="s">
        <v>517</v>
      </c>
      <c r="C14" s="33" t="s">
        <v>491</v>
      </c>
      <c r="D14" s="33" t="s">
        <v>263</v>
      </c>
      <c r="E14" s="34" t="s">
        <v>518</v>
      </c>
    </row>
    <row r="15" spans="1:5" ht="33.950000000000003" customHeight="1" x14ac:dyDescent="0.25">
      <c r="A15" s="33" t="s">
        <v>519</v>
      </c>
      <c r="B15" s="34" t="s">
        <v>520</v>
      </c>
      <c r="C15" s="33" t="s">
        <v>521</v>
      </c>
      <c r="D15" s="33" t="s">
        <v>223</v>
      </c>
      <c r="E15" s="34" t="s">
        <v>522</v>
      </c>
    </row>
    <row r="16" spans="1:5" ht="33.950000000000003" customHeight="1" x14ac:dyDescent="0.25">
      <c r="A16" s="33" t="s">
        <v>523</v>
      </c>
      <c r="B16" s="34" t="s">
        <v>524</v>
      </c>
      <c r="C16" s="33" t="s">
        <v>521</v>
      </c>
      <c r="D16" s="33" t="s">
        <v>301</v>
      </c>
      <c r="E16" s="34" t="s">
        <v>525</v>
      </c>
    </row>
    <row r="17" spans="1:5" ht="33.950000000000003" customHeight="1" x14ac:dyDescent="0.25">
      <c r="A17" s="33" t="s">
        <v>526</v>
      </c>
      <c r="B17" s="34" t="s">
        <v>527</v>
      </c>
      <c r="C17" s="33" t="s">
        <v>491</v>
      </c>
      <c r="D17" s="33" t="s">
        <v>528</v>
      </c>
      <c r="E17" s="34" t="s">
        <v>529</v>
      </c>
    </row>
    <row r="18" spans="1:5" ht="33.950000000000003" customHeight="1" x14ac:dyDescent="0.25">
      <c r="A18" s="33" t="s">
        <v>530</v>
      </c>
      <c r="B18" s="34" t="s">
        <v>531</v>
      </c>
      <c r="C18" s="33" t="s">
        <v>495</v>
      </c>
      <c r="D18" s="33" t="s">
        <v>345</v>
      </c>
      <c r="E18" s="34" t="s">
        <v>532</v>
      </c>
    </row>
    <row r="19" spans="1:5" ht="33.950000000000003" customHeight="1" x14ac:dyDescent="0.25">
      <c r="A19" s="33" t="s">
        <v>533</v>
      </c>
      <c r="B19" s="34" t="s">
        <v>534</v>
      </c>
      <c r="C19" s="33" t="s">
        <v>508</v>
      </c>
      <c r="D19" s="33" t="s">
        <v>338</v>
      </c>
      <c r="E19" s="34" t="s">
        <v>535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workbookViewId="0"/>
  </sheetViews>
  <sheetFormatPr baseColWidth="10" defaultColWidth="9.140625" defaultRowHeight="15" x14ac:dyDescent="0.25"/>
  <cols>
    <col min="1" max="1" width="20" customWidth="1"/>
    <col min="2" max="2" width="26" customWidth="1"/>
    <col min="3" max="3" width="32" customWidth="1"/>
    <col min="4" max="4" width="18" customWidth="1"/>
    <col min="5" max="5" width="20" customWidth="1"/>
    <col min="6" max="6" width="28" customWidth="1"/>
    <col min="7" max="7" width="14" customWidth="1"/>
    <col min="8" max="8" width="18" customWidth="1"/>
  </cols>
  <sheetData>
    <row r="1" spans="1:9" ht="27.95" customHeight="1" x14ac:dyDescent="0.25">
      <c r="A1" s="45" t="s">
        <v>536</v>
      </c>
      <c r="B1" s="42"/>
      <c r="C1" s="42"/>
      <c r="D1" s="42"/>
      <c r="E1" s="42"/>
      <c r="F1" s="42"/>
      <c r="G1" s="42"/>
      <c r="H1" s="42"/>
      <c r="I1" s="42"/>
    </row>
    <row r="3" spans="1:9" ht="30" customHeight="1" x14ac:dyDescent="0.25">
      <c r="A3" s="21" t="s">
        <v>537</v>
      </c>
      <c r="B3" s="21" t="s">
        <v>538</v>
      </c>
      <c r="C3" s="21" t="s">
        <v>539</v>
      </c>
      <c r="D3" s="21" t="s">
        <v>540</v>
      </c>
      <c r="E3" s="21" t="s">
        <v>541</v>
      </c>
      <c r="F3" s="21" t="s">
        <v>542</v>
      </c>
      <c r="G3" s="21" t="s">
        <v>543</v>
      </c>
      <c r="H3" s="21" t="s">
        <v>544</v>
      </c>
      <c r="I3" s="21" t="s">
        <v>26</v>
      </c>
    </row>
    <row r="4" spans="1:9" ht="33.950000000000003" customHeight="1" x14ac:dyDescent="0.25">
      <c r="A4" s="34" t="s">
        <v>93</v>
      </c>
      <c r="B4" s="34" t="s">
        <v>545</v>
      </c>
      <c r="C4" s="34" t="s">
        <v>546</v>
      </c>
      <c r="D4" s="33" t="s">
        <v>547</v>
      </c>
      <c r="E4" s="34" t="s">
        <v>548</v>
      </c>
      <c r="F4" s="33" t="s">
        <v>549</v>
      </c>
      <c r="G4" s="33" t="s">
        <v>550</v>
      </c>
      <c r="H4" s="33" t="s">
        <v>551</v>
      </c>
      <c r="I4" s="33" t="s">
        <v>552</v>
      </c>
    </row>
    <row r="5" spans="1:9" ht="33.950000000000003" customHeight="1" x14ac:dyDescent="0.25">
      <c r="A5" s="34" t="s">
        <v>553</v>
      </c>
      <c r="B5" s="34" t="s">
        <v>554</v>
      </c>
      <c r="C5" s="34" t="s">
        <v>555</v>
      </c>
      <c r="D5" s="33" t="s">
        <v>556</v>
      </c>
      <c r="E5" s="34" t="s">
        <v>557</v>
      </c>
      <c r="F5" s="33" t="s">
        <v>558</v>
      </c>
      <c r="G5" s="33" t="s">
        <v>550</v>
      </c>
      <c r="H5" s="33" t="s">
        <v>551</v>
      </c>
      <c r="I5" s="33" t="s">
        <v>552</v>
      </c>
    </row>
    <row r="6" spans="1:9" ht="33.950000000000003" customHeight="1" x14ac:dyDescent="0.25">
      <c r="A6" s="34" t="s">
        <v>148</v>
      </c>
      <c r="B6" s="34" t="s">
        <v>559</v>
      </c>
      <c r="C6" s="34" t="s">
        <v>560</v>
      </c>
      <c r="D6" s="33" t="s">
        <v>556</v>
      </c>
      <c r="E6" s="34" t="s">
        <v>557</v>
      </c>
      <c r="F6" s="33" t="s">
        <v>561</v>
      </c>
      <c r="G6" s="33" t="s">
        <v>562</v>
      </c>
      <c r="H6" s="33" t="s">
        <v>563</v>
      </c>
      <c r="I6" s="33" t="s">
        <v>552</v>
      </c>
    </row>
    <row r="7" spans="1:9" ht="33.950000000000003" customHeight="1" x14ac:dyDescent="0.25">
      <c r="A7" s="34" t="s">
        <v>148</v>
      </c>
      <c r="B7" s="34" t="s">
        <v>564</v>
      </c>
      <c r="C7" s="34" t="s">
        <v>565</v>
      </c>
      <c r="D7" s="33" t="s">
        <v>556</v>
      </c>
      <c r="E7" s="34" t="s">
        <v>557</v>
      </c>
      <c r="F7" s="33" t="s">
        <v>566</v>
      </c>
      <c r="G7" s="33" t="s">
        <v>562</v>
      </c>
      <c r="H7" s="33" t="s">
        <v>567</v>
      </c>
      <c r="I7" s="33" t="s">
        <v>568</v>
      </c>
    </row>
    <row r="8" spans="1:9" ht="33.950000000000003" customHeight="1" x14ac:dyDescent="0.25">
      <c r="A8" s="34" t="s">
        <v>77</v>
      </c>
      <c r="B8" s="34" t="s">
        <v>569</v>
      </c>
      <c r="C8" s="34" t="s">
        <v>570</v>
      </c>
      <c r="D8" s="33" t="s">
        <v>571</v>
      </c>
      <c r="E8" s="34" t="s">
        <v>572</v>
      </c>
      <c r="F8" s="33" t="s">
        <v>562</v>
      </c>
      <c r="G8" s="33" t="s">
        <v>562</v>
      </c>
      <c r="H8" s="33" t="s">
        <v>551</v>
      </c>
      <c r="I8" s="33" t="s">
        <v>552</v>
      </c>
    </row>
    <row r="9" spans="1:9" ht="33.950000000000003" customHeight="1" x14ac:dyDescent="0.25">
      <c r="A9" s="34" t="s">
        <v>77</v>
      </c>
      <c r="B9" s="34" t="s">
        <v>573</v>
      </c>
      <c r="C9" s="34" t="s">
        <v>574</v>
      </c>
      <c r="D9" s="33" t="s">
        <v>575</v>
      </c>
      <c r="E9" s="34" t="s">
        <v>557</v>
      </c>
      <c r="F9" s="33" t="s">
        <v>576</v>
      </c>
      <c r="G9" s="33" t="s">
        <v>577</v>
      </c>
      <c r="H9" s="33" t="s">
        <v>551</v>
      </c>
      <c r="I9" s="33" t="s">
        <v>552</v>
      </c>
    </row>
    <row r="10" spans="1:9" ht="33.950000000000003" customHeight="1" x14ac:dyDescent="0.25">
      <c r="A10" s="34" t="s">
        <v>124</v>
      </c>
      <c r="B10" s="34" t="s">
        <v>578</v>
      </c>
      <c r="C10" s="34" t="s">
        <v>579</v>
      </c>
      <c r="D10" s="33" t="s">
        <v>580</v>
      </c>
      <c r="E10" s="34" t="s">
        <v>581</v>
      </c>
      <c r="F10" s="33" t="s">
        <v>582</v>
      </c>
      <c r="G10" s="33" t="s">
        <v>583</v>
      </c>
      <c r="H10" s="33" t="s">
        <v>583</v>
      </c>
      <c r="I10" s="33" t="s">
        <v>584</v>
      </c>
    </row>
    <row r="11" spans="1:9" ht="33.950000000000003" customHeight="1" x14ac:dyDescent="0.25">
      <c r="A11" s="34" t="s">
        <v>70</v>
      </c>
      <c r="B11" s="34" t="s">
        <v>585</v>
      </c>
      <c r="C11" s="34" t="s">
        <v>586</v>
      </c>
      <c r="D11" s="33" t="s">
        <v>556</v>
      </c>
      <c r="E11" s="34" t="s">
        <v>587</v>
      </c>
      <c r="F11" s="33" t="s">
        <v>588</v>
      </c>
      <c r="G11" s="33" t="s">
        <v>562</v>
      </c>
      <c r="H11" s="33" t="s">
        <v>551</v>
      </c>
      <c r="I11" s="33" t="s">
        <v>552</v>
      </c>
    </row>
    <row r="12" spans="1:9" ht="33.950000000000003" customHeight="1" x14ac:dyDescent="0.25">
      <c r="A12" s="34" t="s">
        <v>70</v>
      </c>
      <c r="B12" s="34" t="s">
        <v>589</v>
      </c>
      <c r="C12" s="34" t="s">
        <v>590</v>
      </c>
      <c r="D12" s="33" t="s">
        <v>591</v>
      </c>
      <c r="E12" s="34" t="s">
        <v>587</v>
      </c>
      <c r="F12" s="33" t="s">
        <v>588</v>
      </c>
      <c r="G12" s="33" t="s">
        <v>562</v>
      </c>
      <c r="H12" s="33" t="s">
        <v>551</v>
      </c>
      <c r="I12" s="33" t="s">
        <v>552</v>
      </c>
    </row>
    <row r="13" spans="1:9" ht="33.950000000000003" customHeight="1" x14ac:dyDescent="0.25">
      <c r="A13" s="34" t="s">
        <v>112</v>
      </c>
      <c r="B13" s="34" t="s">
        <v>592</v>
      </c>
      <c r="C13" s="34" t="s">
        <v>593</v>
      </c>
      <c r="D13" s="33" t="s">
        <v>575</v>
      </c>
      <c r="E13" s="34" t="s">
        <v>557</v>
      </c>
      <c r="F13" s="33" t="s">
        <v>576</v>
      </c>
      <c r="G13" s="33" t="s">
        <v>594</v>
      </c>
      <c r="H13" s="33" t="s">
        <v>551</v>
      </c>
      <c r="I13" s="33" t="s">
        <v>568</v>
      </c>
    </row>
    <row r="14" spans="1:9" ht="33.950000000000003" customHeight="1" x14ac:dyDescent="0.25">
      <c r="A14" s="34" t="s">
        <v>595</v>
      </c>
      <c r="B14" s="34" t="s">
        <v>596</v>
      </c>
      <c r="C14" s="34" t="s">
        <v>579</v>
      </c>
      <c r="D14" s="33" t="s">
        <v>580</v>
      </c>
      <c r="E14" s="34" t="s">
        <v>581</v>
      </c>
      <c r="F14" s="33" t="s">
        <v>597</v>
      </c>
      <c r="G14" s="33" t="s">
        <v>583</v>
      </c>
      <c r="H14" s="33" t="s">
        <v>583</v>
      </c>
      <c r="I14" s="33" t="s">
        <v>584</v>
      </c>
    </row>
    <row r="15" spans="1:9" ht="33.950000000000003" customHeight="1" x14ac:dyDescent="0.25">
      <c r="A15" s="34" t="s">
        <v>225</v>
      </c>
      <c r="B15" s="34" t="s">
        <v>598</v>
      </c>
      <c r="C15" s="34" t="s">
        <v>599</v>
      </c>
      <c r="D15" s="33" t="s">
        <v>600</v>
      </c>
      <c r="E15" s="34" t="s">
        <v>601</v>
      </c>
      <c r="F15" s="33" t="s">
        <v>548</v>
      </c>
      <c r="G15" s="33" t="s">
        <v>602</v>
      </c>
      <c r="H15" s="33" t="s">
        <v>548</v>
      </c>
      <c r="I15" s="33" t="s">
        <v>603</v>
      </c>
    </row>
    <row r="16" spans="1:9" ht="33.950000000000003" customHeight="1" x14ac:dyDescent="0.25">
      <c r="A16" s="34" t="s">
        <v>296</v>
      </c>
      <c r="B16" s="34" t="s">
        <v>604</v>
      </c>
      <c r="C16" s="34" t="s">
        <v>605</v>
      </c>
      <c r="D16" s="33" t="s">
        <v>556</v>
      </c>
      <c r="E16" s="34" t="s">
        <v>557</v>
      </c>
      <c r="F16" s="33" t="s">
        <v>606</v>
      </c>
      <c r="G16" s="33" t="s">
        <v>607</v>
      </c>
      <c r="H16" s="33" t="s">
        <v>551</v>
      </c>
      <c r="I16" s="33" t="s">
        <v>568</v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28" customWidth="1"/>
    <col min="3" max="3" width="14" customWidth="1"/>
    <col min="4" max="4" width="8" customWidth="1"/>
    <col min="5" max="5" width="14" customWidth="1"/>
    <col min="6" max="6" width="40" customWidth="1"/>
    <col min="7" max="7" width="14" customWidth="1"/>
  </cols>
  <sheetData>
    <row r="1" spans="1:7" ht="27.95" customHeight="1" x14ac:dyDescent="0.25">
      <c r="A1" s="45" t="s">
        <v>608</v>
      </c>
      <c r="B1" s="42"/>
      <c r="C1" s="42"/>
      <c r="D1" s="42"/>
      <c r="E1" s="42"/>
      <c r="F1" s="42"/>
      <c r="G1" s="42"/>
    </row>
    <row r="3" spans="1:7" ht="30" customHeight="1" x14ac:dyDescent="0.25">
      <c r="A3" s="21" t="s">
        <v>23</v>
      </c>
      <c r="B3" s="21" t="s">
        <v>609</v>
      </c>
      <c r="C3" s="21" t="s">
        <v>610</v>
      </c>
      <c r="D3" s="21" t="s">
        <v>611</v>
      </c>
      <c r="E3" s="21" t="s">
        <v>612</v>
      </c>
      <c r="F3" s="21" t="s">
        <v>613</v>
      </c>
      <c r="G3" s="21" t="s">
        <v>26</v>
      </c>
    </row>
    <row r="4" spans="1:7" ht="33.950000000000003" customHeight="1" x14ac:dyDescent="0.25">
      <c r="A4" s="33" t="s">
        <v>614</v>
      </c>
      <c r="B4" s="33" t="s">
        <v>615</v>
      </c>
      <c r="C4" s="33" t="s">
        <v>616</v>
      </c>
      <c r="D4" s="33" t="s">
        <v>617</v>
      </c>
      <c r="E4" s="33" t="s">
        <v>458</v>
      </c>
      <c r="F4" s="34" t="s">
        <v>618</v>
      </c>
      <c r="G4" s="33" t="s">
        <v>552</v>
      </c>
    </row>
    <row r="5" spans="1:7" ht="33.950000000000003" customHeight="1" x14ac:dyDescent="0.25">
      <c r="A5" s="33" t="s">
        <v>619</v>
      </c>
      <c r="B5" s="33" t="s">
        <v>620</v>
      </c>
      <c r="C5" s="33" t="s">
        <v>621</v>
      </c>
      <c r="D5" s="33" t="s">
        <v>617</v>
      </c>
      <c r="E5" s="33" t="s">
        <v>444</v>
      </c>
      <c r="F5" s="34" t="s">
        <v>622</v>
      </c>
      <c r="G5" s="33" t="s">
        <v>552</v>
      </c>
    </row>
    <row r="6" spans="1:7" ht="33.950000000000003" customHeight="1" x14ac:dyDescent="0.25">
      <c r="A6" s="33" t="s">
        <v>623</v>
      </c>
      <c r="B6" s="33" t="s">
        <v>624</v>
      </c>
      <c r="C6" s="33" t="s">
        <v>616</v>
      </c>
      <c r="D6" s="33" t="s">
        <v>617</v>
      </c>
      <c r="E6" s="33" t="s">
        <v>463</v>
      </c>
      <c r="F6" s="34" t="s">
        <v>625</v>
      </c>
      <c r="G6" s="33" t="s">
        <v>568</v>
      </c>
    </row>
    <row r="7" spans="1:7" ht="33.950000000000003" customHeight="1" x14ac:dyDescent="0.25">
      <c r="A7" s="33" t="s">
        <v>626</v>
      </c>
      <c r="B7" s="33" t="s">
        <v>627</v>
      </c>
      <c r="C7" s="33" t="s">
        <v>621</v>
      </c>
      <c r="D7" s="33" t="s">
        <v>617</v>
      </c>
      <c r="E7" s="33" t="s">
        <v>628</v>
      </c>
      <c r="F7" s="34" t="s">
        <v>596</v>
      </c>
      <c r="G7" s="33" t="s">
        <v>568</v>
      </c>
    </row>
    <row r="8" spans="1:7" ht="33.950000000000003" customHeight="1" x14ac:dyDescent="0.25">
      <c r="A8" s="33" t="s">
        <v>629</v>
      </c>
      <c r="B8" s="33" t="s">
        <v>630</v>
      </c>
      <c r="C8" s="33" t="s">
        <v>621</v>
      </c>
      <c r="D8" s="33" t="s">
        <v>617</v>
      </c>
      <c r="E8" s="33" t="s">
        <v>444</v>
      </c>
      <c r="F8" s="34" t="s">
        <v>631</v>
      </c>
      <c r="G8" s="33" t="s">
        <v>552</v>
      </c>
    </row>
    <row r="9" spans="1:7" ht="33.950000000000003" customHeight="1" x14ac:dyDescent="0.25">
      <c r="A9" s="33" t="s">
        <v>632</v>
      </c>
      <c r="B9" s="33" t="s">
        <v>633</v>
      </c>
      <c r="C9" s="33" t="s">
        <v>616</v>
      </c>
      <c r="D9" s="33" t="s">
        <v>617</v>
      </c>
      <c r="E9" s="33" t="s">
        <v>482</v>
      </c>
      <c r="F9" s="34" t="s">
        <v>634</v>
      </c>
      <c r="G9" s="33" t="s">
        <v>552</v>
      </c>
    </row>
    <row r="10" spans="1:7" ht="33.950000000000003" customHeight="1" x14ac:dyDescent="0.25">
      <c r="A10" s="33" t="s">
        <v>635</v>
      </c>
      <c r="B10" s="33" t="s">
        <v>636</v>
      </c>
      <c r="C10" s="33" t="s">
        <v>621</v>
      </c>
      <c r="D10" s="33" t="s">
        <v>617</v>
      </c>
      <c r="E10" s="33" t="s">
        <v>454</v>
      </c>
      <c r="F10" s="34" t="s">
        <v>637</v>
      </c>
      <c r="G10" s="33" t="s">
        <v>552</v>
      </c>
    </row>
    <row r="11" spans="1:7" ht="33.950000000000003" customHeight="1" x14ac:dyDescent="0.25">
      <c r="A11" s="33" t="s">
        <v>638</v>
      </c>
      <c r="B11" s="33" t="s">
        <v>639</v>
      </c>
      <c r="C11" s="33" t="s">
        <v>621</v>
      </c>
      <c r="D11" s="33" t="s">
        <v>617</v>
      </c>
      <c r="E11" s="33" t="s">
        <v>523</v>
      </c>
      <c r="F11" s="34" t="s">
        <v>640</v>
      </c>
      <c r="G11" s="33" t="s">
        <v>552</v>
      </c>
    </row>
    <row r="12" spans="1:7" ht="33.950000000000003" customHeight="1" x14ac:dyDescent="0.25">
      <c r="A12" s="33" t="s">
        <v>641</v>
      </c>
      <c r="B12" s="33" t="s">
        <v>642</v>
      </c>
      <c r="C12" s="33" t="s">
        <v>616</v>
      </c>
      <c r="D12" s="33" t="s">
        <v>617</v>
      </c>
      <c r="E12" s="33" t="s">
        <v>643</v>
      </c>
      <c r="F12" s="34" t="s">
        <v>596</v>
      </c>
      <c r="G12" s="33" t="s">
        <v>568</v>
      </c>
    </row>
    <row r="13" spans="1:7" ht="33.950000000000003" customHeight="1" x14ac:dyDescent="0.25">
      <c r="A13" s="33" t="s">
        <v>644</v>
      </c>
      <c r="B13" s="33" t="s">
        <v>645</v>
      </c>
      <c r="C13" s="33" t="s">
        <v>646</v>
      </c>
      <c r="D13" s="33" t="s">
        <v>617</v>
      </c>
      <c r="E13" s="33" t="s">
        <v>444</v>
      </c>
      <c r="F13" s="34" t="s">
        <v>598</v>
      </c>
      <c r="G13" s="33" t="s">
        <v>552</v>
      </c>
    </row>
    <row r="14" spans="1:7" ht="33.950000000000003" customHeight="1" x14ac:dyDescent="0.25">
      <c r="A14" s="33" t="s">
        <v>647</v>
      </c>
      <c r="B14" s="33" t="s">
        <v>648</v>
      </c>
      <c r="C14" s="33" t="s">
        <v>621</v>
      </c>
      <c r="D14" s="33" t="s">
        <v>617</v>
      </c>
      <c r="E14" s="33" t="s">
        <v>444</v>
      </c>
      <c r="F14" s="34" t="s">
        <v>604</v>
      </c>
      <c r="G14" s="33" t="s">
        <v>568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Resumen_Ejecutivo</vt:lpstr>
      <vt:lpstr>Hallazgos</vt:lpstr>
      <vt:lpstr>Seguimiento</vt:lpstr>
      <vt:lpstr>Dashboard</vt:lpstr>
      <vt:lpstr>Top10_Riesgos</vt:lpstr>
      <vt:lpstr>Plan_Remediacion</vt:lpstr>
      <vt:lpstr>Integraciones</vt:lpstr>
      <vt:lpstr>Proyectos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Cuentas Jara</cp:lastModifiedBy>
  <dcterms:created xsi:type="dcterms:W3CDTF">2026-08-31T12:39:34Z</dcterms:created>
  <dcterms:modified xsi:type="dcterms:W3CDTF">2026-08-31T12:39:50Z</dcterms:modified>
</cp:coreProperties>
</file>