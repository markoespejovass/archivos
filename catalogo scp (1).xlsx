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iabank-my.sharepoint.com/personal/claudia_deleon_scb_com_pe/Documents/Documentos/SCORING/VEHICULAR/"/>
    </mc:Choice>
  </mc:AlternateContent>
  <xr:revisionPtr revIDLastSave="0" documentId="8_{182B94D9-2C3F-FE4A-BFF9-ED9038D0C058}" xr6:coauthVersionLast="47" xr6:coauthVersionMax="47" xr10:uidLastSave="{00000000-0000-0000-0000-000000000000}"/>
  <bookViews>
    <workbookView xWindow="-110" yWindow="-110" windowWidth="19420" windowHeight="11500" firstSheet="8" activeTab="9" xr2:uid="{2DF4D7A2-FEE6-460D-9601-A4A82FF8C229}"/>
  </bookViews>
  <sheets>
    <sheet name="CAMPOS MATRIZ" sheetId="25" r:id="rId1"/>
    <sheet name="TABLA DE PESOS Y VARIABLES" sheetId="10" r:id="rId2"/>
    <sheet name="TIPO_CLIENTE" sheetId="8" r:id="rId3"/>
    <sheet name="TIPO_DEBIDA_DILIGENCIA" sheetId="9" r:id="rId4"/>
    <sheet name="OCUPACION" sheetId="5" r:id="rId5"/>
    <sheet name="ACTIVIDAD_ECONOMICA" sheetId="11" r:id="rId6"/>
    <sheet name="SUJETO_OBLIGADO" sheetId="21" r:id="rId7"/>
    <sheet name="PEP" sheetId="22" r:id="rId8"/>
    <sheet name="LISTAS_BLOQUEANTES" sheetId="23" r:id="rId9"/>
    <sheet name="MONEDA" sheetId="13" r:id="rId10"/>
    <sheet name="PRODUCTO" sheetId="3" r:id="rId11"/>
    <sheet name="canal" sheetId="4" r:id="rId12"/>
    <sheet name="CANAL_VF" sheetId="14" r:id="rId13"/>
    <sheet name="TRANSACCIONALIDAD" sheetId="12" r:id="rId14"/>
    <sheet name="PAISES" sheetId="15" r:id="rId15"/>
    <sheet name="DEPARTAMENTOS" sheetId="16" r:id="rId16"/>
    <sheet name="TIPO_ENTIDAD" sheetId="20" r:id="rId17"/>
    <sheet name="TIPO_FORMA_JURIDICA" sheetId="19" r:id="rId18"/>
    <sheet name="TAMANO_PJ" sheetId="17" r:id="rId19"/>
    <sheet name="COMPLEJIDAD_PROPIEDAD" sheetId="18" r:id="rId20"/>
    <sheet name="LONGEVIDAD_COMPANIA" sheetId="24" r:id="rId21"/>
  </sheets>
  <externalReferences>
    <externalReference r:id="rId22"/>
  </externalReferences>
  <definedNames>
    <definedName name="_xlnm._FilterDatabase" localSheetId="5" hidden="1">ACTIVIDAD_ECONOMICA!$A$1:$I$420</definedName>
    <definedName name="_xlnm._FilterDatabase" localSheetId="12" hidden="1">CANAL_VF!$C$2:$D$199</definedName>
    <definedName name="_xlnm._FilterDatabase" localSheetId="15" hidden="1">DEPARTAMENTOS!$A$1:$E$27</definedName>
    <definedName name="_xlnm._FilterDatabase" localSheetId="14" hidden="1">PAISES!$A$1:$F$254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2" i="10"/>
  <c r="Z202" i="4"/>
  <c r="V202" i="4"/>
  <c r="R202" i="4"/>
  <c r="S202" i="4"/>
  <c r="P202" i="4"/>
  <c r="O202" i="4"/>
  <c r="L202" i="4"/>
  <c r="M202" i="4"/>
  <c r="J202" i="4"/>
  <c r="I202" i="4"/>
  <c r="F202" i="4"/>
  <c r="G202" i="4"/>
  <c r="Z201" i="4"/>
  <c r="V201" i="4"/>
  <c r="S201" i="4"/>
  <c r="R201" i="4"/>
  <c r="O201" i="4"/>
  <c r="P201" i="4"/>
  <c r="M201" i="4"/>
  <c r="L201" i="4"/>
  <c r="I201" i="4"/>
  <c r="J201" i="4"/>
  <c r="G201" i="4"/>
  <c r="F201" i="4"/>
  <c r="Z200" i="4"/>
  <c r="V200" i="4"/>
  <c r="R200" i="4"/>
  <c r="S200" i="4"/>
  <c r="P200" i="4"/>
  <c r="O200" i="4"/>
  <c r="L200" i="4"/>
  <c r="M200" i="4"/>
  <c r="J200" i="4"/>
  <c r="I200" i="4"/>
  <c r="F200" i="4"/>
  <c r="G200" i="4"/>
  <c r="W200" i="4"/>
  <c r="X200" i="4"/>
  <c r="Z199" i="4"/>
  <c r="V199" i="4"/>
  <c r="S199" i="4"/>
  <c r="R199" i="4"/>
  <c r="O199" i="4"/>
  <c r="P199" i="4"/>
  <c r="M199" i="4"/>
  <c r="L199" i="4"/>
  <c r="I199" i="4"/>
  <c r="J199" i="4"/>
  <c r="G199" i="4"/>
  <c r="W199" i="4"/>
  <c r="X199" i="4"/>
  <c r="F199" i="4"/>
  <c r="Z198" i="4"/>
  <c r="V198" i="4"/>
  <c r="R198" i="4"/>
  <c r="S198" i="4"/>
  <c r="P198" i="4"/>
  <c r="O198" i="4"/>
  <c r="L198" i="4"/>
  <c r="M198" i="4"/>
  <c r="J198" i="4"/>
  <c r="I198" i="4"/>
  <c r="F198" i="4"/>
  <c r="G198" i="4"/>
  <c r="Z197" i="4"/>
  <c r="V197" i="4"/>
  <c r="S197" i="4"/>
  <c r="R197" i="4"/>
  <c r="O197" i="4"/>
  <c r="P197" i="4"/>
  <c r="M197" i="4"/>
  <c r="L197" i="4"/>
  <c r="I197" i="4"/>
  <c r="J197" i="4"/>
  <c r="E197" i="4"/>
  <c r="F197" i="4"/>
  <c r="G197" i="4"/>
  <c r="Z196" i="4"/>
  <c r="V196" i="4"/>
  <c r="R196" i="4"/>
  <c r="S196" i="4"/>
  <c r="O196" i="4"/>
  <c r="P196" i="4"/>
  <c r="L196" i="4"/>
  <c r="M196" i="4"/>
  <c r="J196" i="4"/>
  <c r="I196" i="4"/>
  <c r="F196" i="4"/>
  <c r="G196" i="4"/>
  <c r="E196" i="4"/>
  <c r="Z195" i="4"/>
  <c r="V195" i="4"/>
  <c r="R195" i="4"/>
  <c r="S195" i="4"/>
  <c r="P195" i="4"/>
  <c r="O195" i="4"/>
  <c r="L195" i="4"/>
  <c r="M195" i="4"/>
  <c r="J195" i="4"/>
  <c r="I195" i="4"/>
  <c r="E195" i="4"/>
  <c r="F195" i="4"/>
  <c r="G195" i="4"/>
  <c r="Z194" i="4"/>
  <c r="V194" i="4"/>
  <c r="S194" i="4"/>
  <c r="R194" i="4"/>
  <c r="O194" i="4"/>
  <c r="P194" i="4"/>
  <c r="L194" i="4"/>
  <c r="M194" i="4"/>
  <c r="J194" i="4"/>
  <c r="I194" i="4"/>
  <c r="E194" i="4"/>
  <c r="F194" i="4"/>
  <c r="G194" i="4"/>
  <c r="Z193" i="4"/>
  <c r="V193" i="4"/>
  <c r="S193" i="4"/>
  <c r="R193" i="4"/>
  <c r="O193" i="4"/>
  <c r="P193" i="4"/>
  <c r="M193" i="4"/>
  <c r="L193" i="4"/>
  <c r="I193" i="4"/>
  <c r="J193" i="4"/>
  <c r="W193" i="4"/>
  <c r="X193" i="4"/>
  <c r="G193" i="4"/>
  <c r="F193" i="4"/>
  <c r="E193" i="4"/>
  <c r="Z192" i="4"/>
  <c r="V192" i="4"/>
  <c r="R192" i="4"/>
  <c r="S192" i="4"/>
  <c r="P192" i="4"/>
  <c r="O192" i="4"/>
  <c r="L192" i="4"/>
  <c r="M192" i="4"/>
  <c r="I192" i="4"/>
  <c r="J192" i="4"/>
  <c r="F192" i="4"/>
  <c r="G192" i="4"/>
  <c r="E192" i="4"/>
  <c r="Z191" i="4"/>
  <c r="V191" i="4"/>
  <c r="R191" i="4"/>
  <c r="S191" i="4"/>
  <c r="P191" i="4"/>
  <c r="O191" i="4"/>
  <c r="L191" i="4"/>
  <c r="M191" i="4"/>
  <c r="J191" i="4"/>
  <c r="I191" i="4"/>
  <c r="E191" i="4"/>
  <c r="F191" i="4"/>
  <c r="G191" i="4"/>
  <c r="W191" i="4"/>
  <c r="X191" i="4"/>
  <c r="Z190" i="4"/>
  <c r="V190" i="4"/>
  <c r="R190" i="4"/>
  <c r="S190" i="4"/>
  <c r="P190" i="4"/>
  <c r="O190" i="4"/>
  <c r="M190" i="4"/>
  <c r="L190" i="4"/>
  <c r="I190" i="4"/>
  <c r="J190" i="4"/>
  <c r="E190" i="4"/>
  <c r="F190" i="4"/>
  <c r="G190" i="4"/>
  <c r="W190" i="4"/>
  <c r="X190" i="4"/>
  <c r="Z189" i="4"/>
  <c r="V189" i="4"/>
  <c r="S189" i="4"/>
  <c r="R189" i="4"/>
  <c r="O189" i="4"/>
  <c r="P189" i="4"/>
  <c r="M189" i="4"/>
  <c r="L189" i="4"/>
  <c r="I189" i="4"/>
  <c r="J189" i="4"/>
  <c r="E189" i="4"/>
  <c r="F189" i="4"/>
  <c r="G189" i="4"/>
  <c r="W189" i="4"/>
  <c r="X189" i="4"/>
  <c r="Z188" i="4"/>
  <c r="V188" i="4"/>
  <c r="R188" i="4"/>
  <c r="S188" i="4"/>
  <c r="O188" i="4"/>
  <c r="P188" i="4"/>
  <c r="L188" i="4"/>
  <c r="M188" i="4"/>
  <c r="J188" i="4"/>
  <c r="I188" i="4"/>
  <c r="F188" i="4"/>
  <c r="G188" i="4"/>
  <c r="E188" i="4"/>
  <c r="Z187" i="4"/>
  <c r="W187" i="4"/>
  <c r="X187" i="4"/>
  <c r="V187" i="4"/>
  <c r="R187" i="4"/>
  <c r="S187" i="4"/>
  <c r="P187" i="4"/>
  <c r="O187" i="4"/>
  <c r="M187" i="4"/>
  <c r="L187" i="4"/>
  <c r="J187" i="4"/>
  <c r="I187" i="4"/>
  <c r="E187" i="4"/>
  <c r="F187" i="4"/>
  <c r="G187" i="4"/>
  <c r="Z186" i="4"/>
  <c r="V186" i="4"/>
  <c r="S186" i="4"/>
  <c r="R186" i="4"/>
  <c r="O186" i="4"/>
  <c r="P186" i="4"/>
  <c r="L186" i="4"/>
  <c r="M186" i="4"/>
  <c r="J186" i="4"/>
  <c r="I186" i="4"/>
  <c r="E186" i="4"/>
  <c r="F186" i="4"/>
  <c r="G186" i="4"/>
  <c r="Z185" i="4"/>
  <c r="V185" i="4"/>
  <c r="S185" i="4"/>
  <c r="R185" i="4"/>
  <c r="O185" i="4"/>
  <c r="P185" i="4"/>
  <c r="M185" i="4"/>
  <c r="L185" i="4"/>
  <c r="J185" i="4"/>
  <c r="I185" i="4"/>
  <c r="G185" i="4"/>
  <c r="W185" i="4"/>
  <c r="X185" i="4"/>
  <c r="F185" i="4"/>
  <c r="E185" i="4"/>
  <c r="Z184" i="4"/>
  <c r="V184" i="4"/>
  <c r="S184" i="4"/>
  <c r="R184" i="4"/>
  <c r="P184" i="4"/>
  <c r="O184" i="4"/>
  <c r="L184" i="4"/>
  <c r="M184" i="4"/>
  <c r="I184" i="4"/>
  <c r="J184" i="4"/>
  <c r="F184" i="4"/>
  <c r="G184" i="4"/>
  <c r="E184" i="4"/>
  <c r="Z183" i="4"/>
  <c r="V183" i="4"/>
  <c r="S183" i="4"/>
  <c r="R183" i="4"/>
  <c r="P183" i="4"/>
  <c r="O183" i="4"/>
  <c r="L183" i="4"/>
  <c r="M183" i="4"/>
  <c r="J183" i="4"/>
  <c r="I183" i="4"/>
  <c r="E183" i="4"/>
  <c r="F183" i="4"/>
  <c r="G183" i="4"/>
  <c r="W183" i="4"/>
  <c r="X183" i="4"/>
  <c r="Z182" i="4"/>
  <c r="V182" i="4"/>
  <c r="R182" i="4"/>
  <c r="S182" i="4"/>
  <c r="O182" i="4"/>
  <c r="P182" i="4"/>
  <c r="M182" i="4"/>
  <c r="L182" i="4"/>
  <c r="I182" i="4"/>
  <c r="J182" i="4"/>
  <c r="E182" i="4"/>
  <c r="F182" i="4"/>
  <c r="G182" i="4"/>
  <c r="Z181" i="4"/>
  <c r="V181" i="4"/>
  <c r="S181" i="4"/>
  <c r="R181" i="4"/>
  <c r="P181" i="4"/>
  <c r="O181" i="4"/>
  <c r="M181" i="4"/>
  <c r="L181" i="4"/>
  <c r="J181" i="4"/>
  <c r="I181" i="4"/>
  <c r="E181" i="4"/>
  <c r="F181" i="4"/>
  <c r="G181" i="4"/>
  <c r="W181" i="4"/>
  <c r="X181" i="4"/>
  <c r="Z180" i="4"/>
  <c r="V180" i="4"/>
  <c r="R180" i="4"/>
  <c r="S180" i="4"/>
  <c r="O180" i="4"/>
  <c r="P180" i="4"/>
  <c r="L180" i="4"/>
  <c r="M180" i="4"/>
  <c r="J180" i="4"/>
  <c r="I180" i="4"/>
  <c r="F180" i="4"/>
  <c r="G180" i="4"/>
  <c r="W180" i="4"/>
  <c r="X180" i="4"/>
  <c r="E180" i="4"/>
  <c r="Z179" i="4"/>
  <c r="V179" i="4"/>
  <c r="R179" i="4"/>
  <c r="S179" i="4"/>
  <c r="P179" i="4"/>
  <c r="O179" i="4"/>
  <c r="L179" i="4"/>
  <c r="M179" i="4"/>
  <c r="J179" i="4"/>
  <c r="I179" i="4"/>
  <c r="E179" i="4"/>
  <c r="F179" i="4"/>
  <c r="G179" i="4"/>
  <c r="Z178" i="4"/>
  <c r="V178" i="4"/>
  <c r="S178" i="4"/>
  <c r="R178" i="4"/>
  <c r="O178" i="4"/>
  <c r="P178" i="4"/>
  <c r="L178" i="4"/>
  <c r="M178" i="4"/>
  <c r="J178" i="4"/>
  <c r="I178" i="4"/>
  <c r="E178" i="4"/>
  <c r="F178" i="4"/>
  <c r="G178" i="4"/>
  <c r="W178" i="4"/>
  <c r="X178" i="4"/>
  <c r="Z177" i="4"/>
  <c r="V177" i="4"/>
  <c r="S177" i="4"/>
  <c r="R177" i="4"/>
  <c r="O177" i="4"/>
  <c r="P177" i="4"/>
  <c r="M177" i="4"/>
  <c r="L177" i="4"/>
  <c r="I177" i="4"/>
  <c r="J177" i="4"/>
  <c r="G177" i="4"/>
  <c r="W177" i="4"/>
  <c r="X177" i="4"/>
  <c r="F177" i="4"/>
  <c r="E177" i="4"/>
  <c r="Z176" i="4"/>
  <c r="V176" i="4"/>
  <c r="R176" i="4"/>
  <c r="S176" i="4"/>
  <c r="P176" i="4"/>
  <c r="O176" i="4"/>
  <c r="L176" i="4"/>
  <c r="M176" i="4"/>
  <c r="I176" i="4"/>
  <c r="J176" i="4"/>
  <c r="F176" i="4"/>
  <c r="G176" i="4"/>
  <c r="E176" i="4"/>
  <c r="Z175" i="4"/>
  <c r="V175" i="4"/>
  <c r="R175" i="4"/>
  <c r="S175" i="4"/>
  <c r="P175" i="4"/>
  <c r="O175" i="4"/>
  <c r="M175" i="4"/>
  <c r="L175" i="4"/>
  <c r="J175" i="4"/>
  <c r="I175" i="4"/>
  <c r="E175" i="4"/>
  <c r="F175" i="4"/>
  <c r="G175" i="4"/>
  <c r="W175" i="4"/>
  <c r="X175" i="4"/>
  <c r="Z174" i="4"/>
  <c r="V174" i="4"/>
  <c r="R174" i="4"/>
  <c r="S174" i="4"/>
  <c r="P174" i="4"/>
  <c r="O174" i="4"/>
  <c r="M174" i="4"/>
  <c r="L174" i="4"/>
  <c r="I174" i="4"/>
  <c r="J174" i="4"/>
  <c r="F174" i="4"/>
  <c r="G174" i="4"/>
  <c r="E174" i="4"/>
  <c r="Z173" i="4"/>
  <c r="V173" i="4"/>
  <c r="S173" i="4"/>
  <c r="R173" i="4"/>
  <c r="O173" i="4"/>
  <c r="P173" i="4"/>
  <c r="M173" i="4"/>
  <c r="L173" i="4"/>
  <c r="J173" i="4"/>
  <c r="I173" i="4"/>
  <c r="E173" i="4"/>
  <c r="F173" i="4"/>
  <c r="G173" i="4"/>
  <c r="Z172" i="4"/>
  <c r="V172" i="4"/>
  <c r="R172" i="4"/>
  <c r="S172" i="4"/>
  <c r="O172" i="4"/>
  <c r="P172" i="4"/>
  <c r="M172" i="4"/>
  <c r="L172" i="4"/>
  <c r="J172" i="4"/>
  <c r="I172" i="4"/>
  <c r="F172" i="4"/>
  <c r="G172" i="4"/>
  <c r="W172" i="4"/>
  <c r="X172" i="4"/>
  <c r="E172" i="4"/>
  <c r="Z171" i="4"/>
  <c r="V171" i="4"/>
  <c r="S171" i="4"/>
  <c r="R171" i="4"/>
  <c r="P171" i="4"/>
  <c r="O171" i="4"/>
  <c r="L171" i="4"/>
  <c r="M171" i="4"/>
  <c r="J171" i="4"/>
  <c r="I171" i="4"/>
  <c r="E171" i="4"/>
  <c r="F171" i="4"/>
  <c r="G171" i="4"/>
  <c r="Z170" i="4"/>
  <c r="V170" i="4"/>
  <c r="S170" i="4"/>
  <c r="R170" i="4"/>
  <c r="O170" i="4"/>
  <c r="P170" i="4"/>
  <c r="L170" i="4"/>
  <c r="M170" i="4"/>
  <c r="J170" i="4"/>
  <c r="I170" i="4"/>
  <c r="E170" i="4"/>
  <c r="F170" i="4"/>
  <c r="G170" i="4"/>
  <c r="W170" i="4"/>
  <c r="X170" i="4"/>
  <c r="Z169" i="4"/>
  <c r="V169" i="4"/>
  <c r="S169" i="4"/>
  <c r="R169" i="4"/>
  <c r="O169" i="4"/>
  <c r="P169" i="4"/>
  <c r="M169" i="4"/>
  <c r="L169" i="4"/>
  <c r="I169" i="4"/>
  <c r="J169" i="4"/>
  <c r="G169" i="4"/>
  <c r="W169" i="4"/>
  <c r="X169" i="4"/>
  <c r="F169" i="4"/>
  <c r="E169" i="4"/>
  <c r="Z168" i="4"/>
  <c r="V168" i="4"/>
  <c r="R168" i="4"/>
  <c r="S168" i="4"/>
  <c r="P168" i="4"/>
  <c r="O168" i="4"/>
  <c r="L168" i="4"/>
  <c r="M168" i="4"/>
  <c r="I168" i="4"/>
  <c r="J168" i="4"/>
  <c r="F168" i="4"/>
  <c r="G168" i="4"/>
  <c r="E168" i="4"/>
  <c r="Z167" i="4"/>
  <c r="V167" i="4"/>
  <c r="S167" i="4"/>
  <c r="R167" i="4"/>
  <c r="P167" i="4"/>
  <c r="O167" i="4"/>
  <c r="M167" i="4"/>
  <c r="L167" i="4"/>
  <c r="J167" i="4"/>
  <c r="I167" i="4"/>
  <c r="E167" i="4"/>
  <c r="F167" i="4"/>
  <c r="G167" i="4"/>
  <c r="W167" i="4"/>
  <c r="X167" i="4"/>
  <c r="Z166" i="4"/>
  <c r="V166" i="4"/>
  <c r="R166" i="4"/>
  <c r="S166" i="4"/>
  <c r="P166" i="4"/>
  <c r="O166" i="4"/>
  <c r="M166" i="4"/>
  <c r="L166" i="4"/>
  <c r="I166" i="4"/>
  <c r="J166" i="4"/>
  <c r="F166" i="4"/>
  <c r="G166" i="4"/>
  <c r="E166" i="4"/>
  <c r="Z165" i="4"/>
  <c r="V165" i="4"/>
  <c r="S165" i="4"/>
  <c r="R165" i="4"/>
  <c r="O165" i="4"/>
  <c r="P165" i="4"/>
  <c r="M165" i="4"/>
  <c r="L165" i="4"/>
  <c r="J165" i="4"/>
  <c r="I165" i="4"/>
  <c r="E165" i="4"/>
  <c r="F165" i="4"/>
  <c r="G165" i="4"/>
  <c r="Z164" i="4"/>
  <c r="V164" i="4"/>
  <c r="R164" i="4"/>
  <c r="S164" i="4"/>
  <c r="O164" i="4"/>
  <c r="P164" i="4"/>
  <c r="M164" i="4"/>
  <c r="L164" i="4"/>
  <c r="J164" i="4"/>
  <c r="I164" i="4"/>
  <c r="F164" i="4"/>
  <c r="G164" i="4"/>
  <c r="W164" i="4"/>
  <c r="X164" i="4"/>
  <c r="E164" i="4"/>
  <c r="Z163" i="4"/>
  <c r="V163" i="4"/>
  <c r="S163" i="4"/>
  <c r="R163" i="4"/>
  <c r="P163" i="4"/>
  <c r="O163" i="4"/>
  <c r="L163" i="4"/>
  <c r="M163" i="4"/>
  <c r="J163" i="4"/>
  <c r="I163" i="4"/>
  <c r="E163" i="4"/>
  <c r="F163" i="4"/>
  <c r="G163" i="4"/>
  <c r="Z162" i="4"/>
  <c r="V162" i="4"/>
  <c r="S162" i="4"/>
  <c r="R162" i="4"/>
  <c r="O162" i="4"/>
  <c r="P162" i="4"/>
  <c r="L162" i="4"/>
  <c r="M162" i="4"/>
  <c r="J162" i="4"/>
  <c r="I162" i="4"/>
  <c r="E162" i="4"/>
  <c r="F162" i="4"/>
  <c r="G162" i="4"/>
  <c r="W162" i="4"/>
  <c r="X162" i="4"/>
  <c r="Z161" i="4"/>
  <c r="V161" i="4"/>
  <c r="S161" i="4"/>
  <c r="R161" i="4"/>
  <c r="O161" i="4"/>
  <c r="P161" i="4"/>
  <c r="M161" i="4"/>
  <c r="L161" i="4"/>
  <c r="I161" i="4"/>
  <c r="J161" i="4"/>
  <c r="G161" i="4"/>
  <c r="W161" i="4"/>
  <c r="X161" i="4"/>
  <c r="F161" i="4"/>
  <c r="E161" i="4"/>
  <c r="Z160" i="4"/>
  <c r="V160" i="4"/>
  <c r="R160" i="4"/>
  <c r="S160" i="4"/>
  <c r="P160" i="4"/>
  <c r="O160" i="4"/>
  <c r="L160" i="4"/>
  <c r="M160" i="4"/>
  <c r="I160" i="4"/>
  <c r="J160" i="4"/>
  <c r="F160" i="4"/>
  <c r="G160" i="4"/>
  <c r="E160" i="4"/>
  <c r="Z159" i="4"/>
  <c r="V159" i="4"/>
  <c r="R159" i="4"/>
  <c r="S159" i="4"/>
  <c r="P159" i="4"/>
  <c r="O159" i="4"/>
  <c r="M159" i="4"/>
  <c r="L159" i="4"/>
  <c r="J159" i="4"/>
  <c r="I159" i="4"/>
  <c r="E159" i="4"/>
  <c r="F159" i="4"/>
  <c r="G159" i="4"/>
  <c r="Z158" i="4"/>
  <c r="V158" i="4"/>
  <c r="R158" i="4"/>
  <c r="S158" i="4"/>
  <c r="P158" i="4"/>
  <c r="O158" i="4"/>
  <c r="M158" i="4"/>
  <c r="L158" i="4"/>
  <c r="I158" i="4"/>
  <c r="J158" i="4"/>
  <c r="F158" i="4"/>
  <c r="G158" i="4"/>
  <c r="E158" i="4"/>
  <c r="Z157" i="4"/>
  <c r="V157" i="4"/>
  <c r="S157" i="4"/>
  <c r="R157" i="4"/>
  <c r="O157" i="4"/>
  <c r="P157" i="4"/>
  <c r="M157" i="4"/>
  <c r="L157" i="4"/>
  <c r="J157" i="4"/>
  <c r="I157" i="4"/>
  <c r="E157" i="4"/>
  <c r="F157" i="4"/>
  <c r="G157" i="4"/>
  <c r="Z156" i="4"/>
  <c r="V156" i="4"/>
  <c r="R156" i="4"/>
  <c r="S156" i="4"/>
  <c r="O156" i="4"/>
  <c r="P156" i="4"/>
  <c r="M156" i="4"/>
  <c r="L156" i="4"/>
  <c r="J156" i="4"/>
  <c r="I156" i="4"/>
  <c r="F156" i="4"/>
  <c r="G156" i="4"/>
  <c r="W156" i="4"/>
  <c r="X156" i="4"/>
  <c r="E156" i="4"/>
  <c r="Z155" i="4"/>
  <c r="V155" i="4"/>
  <c r="S155" i="4"/>
  <c r="R155" i="4"/>
  <c r="P155" i="4"/>
  <c r="O155" i="4"/>
  <c r="L155" i="4"/>
  <c r="M155" i="4"/>
  <c r="J155" i="4"/>
  <c r="I155" i="4"/>
  <c r="E155" i="4"/>
  <c r="F155" i="4"/>
  <c r="G155" i="4"/>
  <c r="Z154" i="4"/>
  <c r="V154" i="4"/>
  <c r="S154" i="4"/>
  <c r="R154" i="4"/>
  <c r="O154" i="4"/>
  <c r="P154" i="4"/>
  <c r="L154" i="4"/>
  <c r="M154" i="4"/>
  <c r="W154" i="4"/>
  <c r="X154" i="4"/>
  <c r="J154" i="4"/>
  <c r="I154" i="4"/>
  <c r="G154" i="4"/>
  <c r="F154" i="4"/>
  <c r="E154" i="4"/>
  <c r="Z153" i="4"/>
  <c r="V153" i="4"/>
  <c r="S153" i="4"/>
  <c r="R153" i="4"/>
  <c r="P153" i="4"/>
  <c r="O153" i="4"/>
  <c r="M153" i="4"/>
  <c r="L153" i="4"/>
  <c r="I153" i="4"/>
  <c r="J153" i="4"/>
  <c r="G153" i="4"/>
  <c r="F153" i="4"/>
  <c r="E153" i="4"/>
  <c r="Z152" i="4"/>
  <c r="V152" i="4"/>
  <c r="R152" i="4"/>
  <c r="S152" i="4"/>
  <c r="P152" i="4"/>
  <c r="O152" i="4"/>
  <c r="L152" i="4"/>
  <c r="M152" i="4"/>
  <c r="I152" i="4"/>
  <c r="J152" i="4"/>
  <c r="G152" i="4"/>
  <c r="F152" i="4"/>
  <c r="E152" i="4"/>
  <c r="Z151" i="4"/>
  <c r="V151" i="4"/>
  <c r="S151" i="4"/>
  <c r="R151" i="4"/>
  <c r="P151" i="4"/>
  <c r="O151" i="4"/>
  <c r="M151" i="4"/>
  <c r="L151" i="4"/>
  <c r="J151" i="4"/>
  <c r="W151" i="4"/>
  <c r="X151" i="4"/>
  <c r="I151" i="4"/>
  <c r="E151" i="4"/>
  <c r="F151" i="4"/>
  <c r="G151" i="4"/>
  <c r="Z150" i="4"/>
  <c r="V150" i="4"/>
  <c r="R150" i="4"/>
  <c r="S150" i="4"/>
  <c r="O150" i="4"/>
  <c r="P150" i="4"/>
  <c r="M150" i="4"/>
  <c r="L150" i="4"/>
  <c r="I150" i="4"/>
  <c r="J150" i="4"/>
  <c r="F150" i="4"/>
  <c r="G150" i="4"/>
  <c r="E150" i="4"/>
  <c r="Z149" i="4"/>
  <c r="V149" i="4"/>
  <c r="S149" i="4"/>
  <c r="R149" i="4"/>
  <c r="O149" i="4"/>
  <c r="P149" i="4"/>
  <c r="M149" i="4"/>
  <c r="L149" i="4"/>
  <c r="J149" i="4"/>
  <c r="I149" i="4"/>
  <c r="E149" i="4"/>
  <c r="F149" i="4"/>
  <c r="G149" i="4"/>
  <c r="W149" i="4"/>
  <c r="X149" i="4"/>
  <c r="Z148" i="4"/>
  <c r="V148" i="4"/>
  <c r="R148" i="4"/>
  <c r="S148" i="4"/>
  <c r="O148" i="4"/>
  <c r="P148" i="4"/>
  <c r="L148" i="4"/>
  <c r="M148" i="4"/>
  <c r="J148" i="4"/>
  <c r="I148" i="4"/>
  <c r="F148" i="4"/>
  <c r="G148" i="4"/>
  <c r="E148" i="4"/>
  <c r="Z147" i="4"/>
  <c r="V147" i="4"/>
  <c r="S147" i="4"/>
  <c r="R147" i="4"/>
  <c r="P147" i="4"/>
  <c r="O147" i="4"/>
  <c r="L147" i="4"/>
  <c r="M147" i="4"/>
  <c r="J147" i="4"/>
  <c r="I147" i="4"/>
  <c r="E147" i="4"/>
  <c r="F147" i="4"/>
  <c r="G147" i="4"/>
  <c r="W147" i="4"/>
  <c r="X147" i="4"/>
  <c r="Z146" i="4"/>
  <c r="V146" i="4"/>
  <c r="S146" i="4"/>
  <c r="R146" i="4"/>
  <c r="O146" i="4"/>
  <c r="P146" i="4"/>
  <c r="L146" i="4"/>
  <c r="M146" i="4"/>
  <c r="I146" i="4"/>
  <c r="J146" i="4"/>
  <c r="G146" i="4"/>
  <c r="F146" i="4"/>
  <c r="E146" i="4"/>
  <c r="Z145" i="4"/>
  <c r="V145" i="4"/>
  <c r="S145" i="4"/>
  <c r="R145" i="4"/>
  <c r="P145" i="4"/>
  <c r="O145" i="4"/>
  <c r="M145" i="4"/>
  <c r="L145" i="4"/>
  <c r="I145" i="4"/>
  <c r="J145" i="4"/>
  <c r="G145" i="4"/>
  <c r="F145" i="4"/>
  <c r="E145" i="4"/>
  <c r="Z144" i="4"/>
  <c r="V144" i="4"/>
  <c r="R144" i="4"/>
  <c r="S144" i="4"/>
  <c r="P144" i="4"/>
  <c r="O144" i="4"/>
  <c r="L144" i="4"/>
  <c r="M144" i="4"/>
  <c r="I144" i="4"/>
  <c r="J144" i="4"/>
  <c r="F144" i="4"/>
  <c r="G144" i="4"/>
  <c r="W144" i="4"/>
  <c r="X144" i="4"/>
  <c r="E144" i="4"/>
  <c r="Z143" i="4"/>
  <c r="V143" i="4"/>
  <c r="R143" i="4"/>
  <c r="S143" i="4"/>
  <c r="P143" i="4"/>
  <c r="O143" i="4"/>
  <c r="M143" i="4"/>
  <c r="L143" i="4"/>
  <c r="J143" i="4"/>
  <c r="I143" i="4"/>
  <c r="E143" i="4"/>
  <c r="F143" i="4"/>
  <c r="G143" i="4"/>
  <c r="Z142" i="4"/>
  <c r="V142" i="4"/>
  <c r="R142" i="4"/>
  <c r="S142" i="4"/>
  <c r="O142" i="4"/>
  <c r="P142" i="4"/>
  <c r="M142" i="4"/>
  <c r="L142" i="4"/>
  <c r="I142" i="4"/>
  <c r="J142" i="4"/>
  <c r="F142" i="4"/>
  <c r="G142" i="4"/>
  <c r="E142" i="4"/>
  <c r="Z141" i="4"/>
  <c r="V141" i="4"/>
  <c r="S141" i="4"/>
  <c r="R141" i="4"/>
  <c r="O141" i="4"/>
  <c r="P141" i="4"/>
  <c r="M141" i="4"/>
  <c r="L141" i="4"/>
  <c r="J141" i="4"/>
  <c r="I141" i="4"/>
  <c r="G141" i="4"/>
  <c r="E141" i="4"/>
  <c r="F141" i="4"/>
  <c r="Z140" i="4"/>
  <c r="V140" i="4"/>
  <c r="R140" i="4"/>
  <c r="S140" i="4"/>
  <c r="O140" i="4"/>
  <c r="P140" i="4"/>
  <c r="L140" i="4"/>
  <c r="M140" i="4"/>
  <c r="J140" i="4"/>
  <c r="I140" i="4"/>
  <c r="F140" i="4"/>
  <c r="G140" i="4"/>
  <c r="W140" i="4"/>
  <c r="X140" i="4"/>
  <c r="E140" i="4"/>
  <c r="Z139" i="4"/>
  <c r="V139" i="4"/>
  <c r="S139" i="4"/>
  <c r="R139" i="4"/>
  <c r="P139" i="4"/>
  <c r="O139" i="4"/>
  <c r="L139" i="4"/>
  <c r="M139" i="4"/>
  <c r="J139" i="4"/>
  <c r="I139" i="4"/>
  <c r="E139" i="4"/>
  <c r="F139" i="4"/>
  <c r="G139" i="4"/>
  <c r="Z138" i="4"/>
  <c r="W138" i="4"/>
  <c r="X138" i="4"/>
  <c r="V138" i="4"/>
  <c r="S138" i="4"/>
  <c r="R138" i="4"/>
  <c r="O138" i="4"/>
  <c r="P138" i="4"/>
  <c r="L138" i="4"/>
  <c r="M138" i="4"/>
  <c r="I138" i="4"/>
  <c r="J138" i="4"/>
  <c r="G138" i="4"/>
  <c r="F138" i="4"/>
  <c r="E138" i="4"/>
  <c r="Z137" i="4"/>
  <c r="V137" i="4"/>
  <c r="S137" i="4"/>
  <c r="R137" i="4"/>
  <c r="P137" i="4"/>
  <c r="O137" i="4"/>
  <c r="M137" i="4"/>
  <c r="L137" i="4"/>
  <c r="I137" i="4"/>
  <c r="J137" i="4"/>
  <c r="G137" i="4"/>
  <c r="F137" i="4"/>
  <c r="E137" i="4"/>
  <c r="Z136" i="4"/>
  <c r="V136" i="4"/>
  <c r="R136" i="4"/>
  <c r="S136" i="4"/>
  <c r="P136" i="4"/>
  <c r="O136" i="4"/>
  <c r="L136" i="4"/>
  <c r="M136" i="4"/>
  <c r="I136" i="4"/>
  <c r="J136" i="4"/>
  <c r="G136" i="4"/>
  <c r="W136" i="4"/>
  <c r="X136" i="4"/>
  <c r="F136" i="4"/>
  <c r="E136" i="4"/>
  <c r="Z135" i="4"/>
  <c r="V135" i="4"/>
  <c r="S135" i="4"/>
  <c r="R135" i="4"/>
  <c r="P135" i="4"/>
  <c r="O135" i="4"/>
  <c r="M135" i="4"/>
  <c r="L135" i="4"/>
  <c r="J135" i="4"/>
  <c r="I135" i="4"/>
  <c r="E135" i="4"/>
  <c r="F135" i="4"/>
  <c r="G135" i="4"/>
  <c r="W135" i="4"/>
  <c r="X135" i="4"/>
  <c r="Z134" i="4"/>
  <c r="V134" i="4"/>
  <c r="R134" i="4"/>
  <c r="S134" i="4"/>
  <c r="O134" i="4"/>
  <c r="P134" i="4"/>
  <c r="M134" i="4"/>
  <c r="L134" i="4"/>
  <c r="I134" i="4"/>
  <c r="J134" i="4"/>
  <c r="E134" i="4"/>
  <c r="F134" i="4"/>
  <c r="G134" i="4"/>
  <c r="Z133" i="4"/>
  <c r="V133" i="4"/>
  <c r="S133" i="4"/>
  <c r="R133" i="4"/>
  <c r="P133" i="4"/>
  <c r="O133" i="4"/>
  <c r="L133" i="4"/>
  <c r="M133" i="4"/>
  <c r="J133" i="4"/>
  <c r="I133" i="4"/>
  <c r="G133" i="4"/>
  <c r="W133" i="4"/>
  <c r="X133" i="4"/>
  <c r="E133" i="4"/>
  <c r="F133" i="4"/>
  <c r="Z132" i="4"/>
  <c r="V132" i="4"/>
  <c r="R132" i="4"/>
  <c r="S132" i="4"/>
  <c r="O132" i="4"/>
  <c r="P132" i="4"/>
  <c r="L132" i="4"/>
  <c r="M132" i="4"/>
  <c r="J132" i="4"/>
  <c r="I132" i="4"/>
  <c r="F132" i="4"/>
  <c r="G132" i="4"/>
  <c r="E132" i="4"/>
  <c r="Z131" i="4"/>
  <c r="V131" i="4"/>
  <c r="S131" i="4"/>
  <c r="R131" i="4"/>
  <c r="P131" i="4"/>
  <c r="O131" i="4"/>
  <c r="L131" i="4"/>
  <c r="M131" i="4"/>
  <c r="I131" i="4"/>
  <c r="J131" i="4"/>
  <c r="E131" i="4"/>
  <c r="F131" i="4"/>
  <c r="G131" i="4"/>
  <c r="Z130" i="4"/>
  <c r="V130" i="4"/>
  <c r="S130" i="4"/>
  <c r="R130" i="4"/>
  <c r="O130" i="4"/>
  <c r="P130" i="4"/>
  <c r="L130" i="4"/>
  <c r="M130" i="4"/>
  <c r="I130" i="4"/>
  <c r="J130" i="4"/>
  <c r="G130" i="4"/>
  <c r="W130" i="4"/>
  <c r="X130" i="4"/>
  <c r="E130" i="4"/>
  <c r="F130" i="4"/>
  <c r="Z129" i="4"/>
  <c r="V129" i="4"/>
  <c r="S129" i="4"/>
  <c r="R129" i="4"/>
  <c r="O129" i="4"/>
  <c r="P129" i="4"/>
  <c r="M129" i="4"/>
  <c r="L129" i="4"/>
  <c r="J129" i="4"/>
  <c r="I129" i="4"/>
  <c r="G129" i="4"/>
  <c r="F129" i="4"/>
  <c r="E129" i="4"/>
  <c r="Z128" i="4"/>
  <c r="V128" i="4"/>
  <c r="R128" i="4"/>
  <c r="S128" i="4"/>
  <c r="P128" i="4"/>
  <c r="O128" i="4"/>
  <c r="L128" i="4"/>
  <c r="M128" i="4"/>
  <c r="I128" i="4"/>
  <c r="J128" i="4"/>
  <c r="E128" i="4"/>
  <c r="F128" i="4"/>
  <c r="G128" i="4"/>
  <c r="Z127" i="4"/>
  <c r="V127" i="4"/>
  <c r="R127" i="4"/>
  <c r="S127" i="4"/>
  <c r="P127" i="4"/>
  <c r="O127" i="4"/>
  <c r="M127" i="4"/>
  <c r="L127" i="4"/>
  <c r="J127" i="4"/>
  <c r="I127" i="4"/>
  <c r="E127" i="4"/>
  <c r="F127" i="4"/>
  <c r="G127" i="4"/>
  <c r="W127" i="4"/>
  <c r="X127" i="4"/>
  <c r="Z126" i="4"/>
  <c r="V126" i="4"/>
  <c r="R126" i="4"/>
  <c r="S126" i="4"/>
  <c r="O126" i="4"/>
  <c r="P126" i="4"/>
  <c r="M126" i="4"/>
  <c r="L126" i="4"/>
  <c r="I126" i="4"/>
  <c r="J126" i="4"/>
  <c r="E126" i="4"/>
  <c r="F126" i="4"/>
  <c r="G126" i="4"/>
  <c r="Z125" i="4"/>
  <c r="V125" i="4"/>
  <c r="S125" i="4"/>
  <c r="R125" i="4"/>
  <c r="P125" i="4"/>
  <c r="O125" i="4"/>
  <c r="L125" i="4"/>
  <c r="M125" i="4"/>
  <c r="J125" i="4"/>
  <c r="I125" i="4"/>
  <c r="E125" i="4"/>
  <c r="F125" i="4"/>
  <c r="G125" i="4"/>
  <c r="Z124" i="4"/>
  <c r="W124" i="4"/>
  <c r="X124" i="4"/>
  <c r="V124" i="4"/>
  <c r="R124" i="4"/>
  <c r="S124" i="4"/>
  <c r="O124" i="4"/>
  <c r="P124" i="4"/>
  <c r="L124" i="4"/>
  <c r="M124" i="4"/>
  <c r="J124" i="4"/>
  <c r="I124" i="4"/>
  <c r="F124" i="4"/>
  <c r="G124" i="4"/>
  <c r="E124" i="4"/>
  <c r="Z123" i="4"/>
  <c r="V123" i="4"/>
  <c r="S123" i="4"/>
  <c r="R123" i="4"/>
  <c r="P123" i="4"/>
  <c r="O123" i="4"/>
  <c r="L123" i="4"/>
  <c r="M123" i="4"/>
  <c r="I123" i="4"/>
  <c r="J123" i="4"/>
  <c r="E123" i="4"/>
  <c r="F123" i="4"/>
  <c r="G123" i="4"/>
  <c r="Z122" i="4"/>
  <c r="V122" i="4"/>
  <c r="S122" i="4"/>
  <c r="R122" i="4"/>
  <c r="O122" i="4"/>
  <c r="P122" i="4"/>
  <c r="L122" i="4"/>
  <c r="M122" i="4"/>
  <c r="I122" i="4"/>
  <c r="J122" i="4"/>
  <c r="E122" i="4"/>
  <c r="F122" i="4"/>
  <c r="G122" i="4"/>
  <c r="Z121" i="4"/>
  <c r="V121" i="4"/>
  <c r="S121" i="4"/>
  <c r="R121" i="4"/>
  <c r="O121" i="4"/>
  <c r="P121" i="4"/>
  <c r="M121" i="4"/>
  <c r="L121" i="4"/>
  <c r="J121" i="4"/>
  <c r="I121" i="4"/>
  <c r="F121" i="4"/>
  <c r="G121" i="4"/>
  <c r="W121" i="4"/>
  <c r="X121" i="4"/>
  <c r="E121" i="4"/>
  <c r="Z120" i="4"/>
  <c r="V120" i="4"/>
  <c r="S120" i="4"/>
  <c r="R120" i="4"/>
  <c r="P120" i="4"/>
  <c r="O120" i="4"/>
  <c r="L120" i="4"/>
  <c r="M120" i="4"/>
  <c r="I120" i="4"/>
  <c r="J120" i="4"/>
  <c r="G120" i="4"/>
  <c r="W120" i="4"/>
  <c r="X120" i="4"/>
  <c r="F120" i="4"/>
  <c r="E120" i="4"/>
  <c r="Z119" i="4"/>
  <c r="V119" i="4"/>
  <c r="R119" i="4"/>
  <c r="S119" i="4"/>
  <c r="P119" i="4"/>
  <c r="O119" i="4"/>
  <c r="M119" i="4"/>
  <c r="L119" i="4"/>
  <c r="J119" i="4"/>
  <c r="I119" i="4"/>
  <c r="E119" i="4"/>
  <c r="F119" i="4"/>
  <c r="G119" i="4"/>
  <c r="W119" i="4"/>
  <c r="X119" i="4"/>
  <c r="Z118" i="4"/>
  <c r="V118" i="4"/>
  <c r="R118" i="4"/>
  <c r="S118" i="4"/>
  <c r="O118" i="4"/>
  <c r="P118" i="4"/>
  <c r="M118" i="4"/>
  <c r="L118" i="4"/>
  <c r="I118" i="4"/>
  <c r="J118" i="4"/>
  <c r="E118" i="4"/>
  <c r="F118" i="4"/>
  <c r="G118" i="4"/>
  <c r="W118" i="4"/>
  <c r="X118" i="4"/>
  <c r="Z117" i="4"/>
  <c r="V117" i="4"/>
  <c r="S117" i="4"/>
  <c r="R117" i="4"/>
  <c r="O117" i="4"/>
  <c r="P117" i="4"/>
  <c r="M117" i="4"/>
  <c r="L117" i="4"/>
  <c r="J117" i="4"/>
  <c r="I117" i="4"/>
  <c r="E117" i="4"/>
  <c r="F117" i="4"/>
  <c r="G117" i="4"/>
  <c r="Z116" i="4"/>
  <c r="W116" i="4"/>
  <c r="X116" i="4"/>
  <c r="V116" i="4"/>
  <c r="R116" i="4"/>
  <c r="S116" i="4"/>
  <c r="O116" i="4"/>
  <c r="P116" i="4"/>
  <c r="L116" i="4"/>
  <c r="M116" i="4"/>
  <c r="J116" i="4"/>
  <c r="I116" i="4"/>
  <c r="F116" i="4"/>
  <c r="G116" i="4"/>
  <c r="E116" i="4"/>
  <c r="Z115" i="4"/>
  <c r="V115" i="4"/>
  <c r="S115" i="4"/>
  <c r="R115" i="4"/>
  <c r="P115" i="4"/>
  <c r="O115" i="4"/>
  <c r="L115" i="4"/>
  <c r="M115" i="4"/>
  <c r="I115" i="4"/>
  <c r="J115" i="4"/>
  <c r="E115" i="4"/>
  <c r="F115" i="4"/>
  <c r="G115" i="4"/>
  <c r="Z114" i="4"/>
  <c r="V114" i="4"/>
  <c r="S114" i="4"/>
  <c r="R114" i="4"/>
  <c r="O114" i="4"/>
  <c r="P114" i="4"/>
  <c r="L114" i="4"/>
  <c r="M114" i="4"/>
  <c r="I114" i="4"/>
  <c r="J114" i="4"/>
  <c r="E114" i="4"/>
  <c r="F114" i="4"/>
  <c r="G114" i="4"/>
  <c r="Z113" i="4"/>
  <c r="V113" i="4"/>
  <c r="R113" i="4"/>
  <c r="S113" i="4"/>
  <c r="O113" i="4"/>
  <c r="P113" i="4"/>
  <c r="L113" i="4"/>
  <c r="M113" i="4"/>
  <c r="J113" i="4"/>
  <c r="I113" i="4"/>
  <c r="F113" i="4"/>
  <c r="G113" i="4"/>
  <c r="E113" i="4"/>
  <c r="Z112" i="4"/>
  <c r="V112" i="4"/>
  <c r="R112" i="4"/>
  <c r="S112" i="4"/>
  <c r="P112" i="4"/>
  <c r="O112" i="4"/>
  <c r="L112" i="4"/>
  <c r="M112" i="4"/>
  <c r="J112" i="4"/>
  <c r="I112" i="4"/>
  <c r="E112" i="4"/>
  <c r="F112" i="4"/>
  <c r="G112" i="4"/>
  <c r="Z111" i="4"/>
  <c r="V111" i="4"/>
  <c r="S111" i="4"/>
  <c r="R111" i="4"/>
  <c r="O111" i="4"/>
  <c r="P111" i="4"/>
  <c r="L111" i="4"/>
  <c r="M111" i="4"/>
  <c r="J111" i="4"/>
  <c r="I111" i="4"/>
  <c r="E111" i="4"/>
  <c r="F111" i="4"/>
  <c r="G111" i="4"/>
  <c r="Z110" i="4"/>
  <c r="V110" i="4"/>
  <c r="S110" i="4"/>
  <c r="R110" i="4"/>
  <c r="O110" i="4"/>
  <c r="P110" i="4"/>
  <c r="M110" i="4"/>
  <c r="L110" i="4"/>
  <c r="J110" i="4"/>
  <c r="W110" i="4"/>
  <c r="X110" i="4"/>
  <c r="I110" i="4"/>
  <c r="F110" i="4"/>
  <c r="G110" i="4"/>
  <c r="E110" i="4"/>
  <c r="Z109" i="4"/>
  <c r="V109" i="4"/>
  <c r="R109" i="4"/>
  <c r="S109" i="4"/>
  <c r="P109" i="4"/>
  <c r="O109" i="4"/>
  <c r="L109" i="4"/>
  <c r="M109" i="4"/>
  <c r="I109" i="4"/>
  <c r="J109" i="4"/>
  <c r="E109" i="4"/>
  <c r="F109" i="4"/>
  <c r="G109" i="4"/>
  <c r="Z108" i="4"/>
  <c r="V108" i="4"/>
  <c r="R108" i="4"/>
  <c r="S108" i="4"/>
  <c r="P108" i="4"/>
  <c r="O108" i="4"/>
  <c r="L108" i="4"/>
  <c r="M108" i="4"/>
  <c r="J108" i="4"/>
  <c r="I108" i="4"/>
  <c r="E108" i="4"/>
  <c r="F108" i="4"/>
  <c r="G108" i="4"/>
  <c r="W108" i="4"/>
  <c r="X108" i="4"/>
  <c r="Z107" i="4"/>
  <c r="V107" i="4"/>
  <c r="R107" i="4"/>
  <c r="S107" i="4"/>
  <c r="O107" i="4"/>
  <c r="P107" i="4"/>
  <c r="M107" i="4"/>
  <c r="L107" i="4"/>
  <c r="I107" i="4"/>
  <c r="J107" i="4"/>
  <c r="F107" i="4"/>
  <c r="G107" i="4"/>
  <c r="E107" i="4"/>
  <c r="Z106" i="4"/>
  <c r="V106" i="4"/>
  <c r="S106" i="4"/>
  <c r="R106" i="4"/>
  <c r="P106" i="4"/>
  <c r="O106" i="4"/>
  <c r="L106" i="4"/>
  <c r="M106" i="4"/>
  <c r="I106" i="4"/>
  <c r="J106" i="4"/>
  <c r="E106" i="4"/>
  <c r="F106" i="4"/>
  <c r="G106" i="4"/>
  <c r="Z105" i="4"/>
  <c r="V105" i="4"/>
  <c r="R105" i="4"/>
  <c r="S105" i="4"/>
  <c r="O105" i="4"/>
  <c r="P105" i="4"/>
  <c r="L105" i="4"/>
  <c r="M105" i="4"/>
  <c r="J105" i="4"/>
  <c r="I105" i="4"/>
  <c r="F105" i="4"/>
  <c r="G105" i="4"/>
  <c r="E105" i="4"/>
  <c r="Z104" i="4"/>
  <c r="V104" i="4"/>
  <c r="R104" i="4"/>
  <c r="S104" i="4"/>
  <c r="P104" i="4"/>
  <c r="O104" i="4"/>
  <c r="M104" i="4"/>
  <c r="L104" i="4"/>
  <c r="I104" i="4"/>
  <c r="J104" i="4"/>
  <c r="E104" i="4"/>
  <c r="F104" i="4"/>
  <c r="G104" i="4"/>
  <c r="W104" i="4"/>
  <c r="X104" i="4"/>
  <c r="Z103" i="4"/>
  <c r="V103" i="4"/>
  <c r="S103" i="4"/>
  <c r="R103" i="4"/>
  <c r="O103" i="4"/>
  <c r="P103" i="4"/>
  <c r="L103" i="4"/>
  <c r="M103" i="4"/>
  <c r="J103" i="4"/>
  <c r="I103" i="4"/>
  <c r="G103" i="4"/>
  <c r="W103" i="4"/>
  <c r="X103" i="4"/>
  <c r="E103" i="4"/>
  <c r="F103" i="4"/>
  <c r="Z102" i="4"/>
  <c r="V102" i="4"/>
  <c r="R102" i="4"/>
  <c r="S102" i="4"/>
  <c r="O102" i="4"/>
  <c r="P102" i="4"/>
  <c r="M102" i="4"/>
  <c r="L102" i="4"/>
  <c r="I102" i="4"/>
  <c r="J102" i="4"/>
  <c r="G102" i="4"/>
  <c r="F102" i="4"/>
  <c r="E102" i="4"/>
  <c r="Z101" i="4"/>
  <c r="V101" i="4"/>
  <c r="S101" i="4"/>
  <c r="R101" i="4"/>
  <c r="P101" i="4"/>
  <c r="O101" i="4"/>
  <c r="L101" i="4"/>
  <c r="M101" i="4"/>
  <c r="I101" i="4"/>
  <c r="J101" i="4"/>
  <c r="F101" i="4"/>
  <c r="G101" i="4"/>
  <c r="W101" i="4"/>
  <c r="X101" i="4"/>
  <c r="E101" i="4"/>
  <c r="Z100" i="4"/>
  <c r="V100" i="4"/>
  <c r="S100" i="4"/>
  <c r="R100" i="4"/>
  <c r="P100" i="4"/>
  <c r="O100" i="4"/>
  <c r="L100" i="4"/>
  <c r="M100" i="4"/>
  <c r="J100" i="4"/>
  <c r="I100" i="4"/>
  <c r="E100" i="4"/>
  <c r="F100" i="4"/>
  <c r="G100" i="4"/>
  <c r="W100" i="4"/>
  <c r="X100" i="4"/>
  <c r="Z99" i="4"/>
  <c r="V99" i="4"/>
  <c r="R99" i="4"/>
  <c r="S99" i="4"/>
  <c r="P99" i="4"/>
  <c r="O99" i="4"/>
  <c r="M99" i="4"/>
  <c r="L99" i="4"/>
  <c r="I99" i="4"/>
  <c r="J99" i="4"/>
  <c r="F99" i="4"/>
  <c r="G99" i="4"/>
  <c r="E99" i="4"/>
  <c r="Z98" i="4"/>
  <c r="V98" i="4"/>
  <c r="S98" i="4"/>
  <c r="R98" i="4"/>
  <c r="O98" i="4"/>
  <c r="P98" i="4"/>
  <c r="L98" i="4"/>
  <c r="M98" i="4"/>
  <c r="I98" i="4"/>
  <c r="J98" i="4"/>
  <c r="E98" i="4"/>
  <c r="F98" i="4"/>
  <c r="G98" i="4"/>
  <c r="Z97" i="4"/>
  <c r="V97" i="4"/>
  <c r="R97" i="4"/>
  <c r="S97" i="4"/>
  <c r="O97" i="4"/>
  <c r="P97" i="4"/>
  <c r="M97" i="4"/>
  <c r="L97" i="4"/>
  <c r="J97" i="4"/>
  <c r="I97" i="4"/>
  <c r="F97" i="4"/>
  <c r="G97" i="4"/>
  <c r="W97" i="4"/>
  <c r="X97" i="4"/>
  <c r="E97" i="4"/>
  <c r="Z96" i="4"/>
  <c r="V96" i="4"/>
  <c r="R96" i="4"/>
  <c r="S96" i="4"/>
  <c r="P96" i="4"/>
  <c r="O96" i="4"/>
  <c r="M96" i="4"/>
  <c r="L96" i="4"/>
  <c r="J96" i="4"/>
  <c r="W96" i="4"/>
  <c r="X96" i="4"/>
  <c r="I96" i="4"/>
  <c r="E96" i="4"/>
  <c r="F96" i="4"/>
  <c r="G96" i="4"/>
  <c r="Z95" i="4"/>
  <c r="V95" i="4"/>
  <c r="S95" i="4"/>
  <c r="R95" i="4"/>
  <c r="O95" i="4"/>
  <c r="P95" i="4"/>
  <c r="L95" i="4"/>
  <c r="M95" i="4"/>
  <c r="I95" i="4"/>
  <c r="J95" i="4"/>
  <c r="E95" i="4"/>
  <c r="F95" i="4"/>
  <c r="G95" i="4"/>
  <c r="W95" i="4"/>
  <c r="X95" i="4"/>
  <c r="Z94" i="4"/>
  <c r="V94" i="4"/>
  <c r="R94" i="4"/>
  <c r="S94" i="4"/>
  <c r="O94" i="4"/>
  <c r="P94" i="4"/>
  <c r="M94" i="4"/>
  <c r="L94" i="4"/>
  <c r="I94" i="4"/>
  <c r="J94" i="4"/>
  <c r="G94" i="4"/>
  <c r="F94" i="4"/>
  <c r="E94" i="4"/>
  <c r="Z93" i="4"/>
  <c r="V93" i="4"/>
  <c r="S93" i="4"/>
  <c r="R93" i="4"/>
  <c r="P93" i="4"/>
  <c r="O93" i="4"/>
  <c r="L93" i="4"/>
  <c r="M93" i="4"/>
  <c r="I93" i="4"/>
  <c r="J93" i="4"/>
  <c r="F93" i="4"/>
  <c r="G93" i="4"/>
  <c r="W93" i="4"/>
  <c r="X93" i="4"/>
  <c r="E93" i="4"/>
  <c r="Z92" i="4"/>
  <c r="V92" i="4"/>
  <c r="S92" i="4"/>
  <c r="R92" i="4"/>
  <c r="O92" i="4"/>
  <c r="P92" i="4"/>
  <c r="L92" i="4"/>
  <c r="M92" i="4"/>
  <c r="J92" i="4"/>
  <c r="I92" i="4"/>
  <c r="G92" i="4"/>
  <c r="F92" i="4"/>
  <c r="E92" i="4"/>
  <c r="Z91" i="4"/>
  <c r="V91" i="4"/>
  <c r="R91" i="4"/>
  <c r="S91" i="4"/>
  <c r="P91" i="4"/>
  <c r="O91" i="4"/>
  <c r="M91" i="4"/>
  <c r="L91" i="4"/>
  <c r="I91" i="4"/>
  <c r="J91" i="4"/>
  <c r="E91" i="4"/>
  <c r="F91" i="4"/>
  <c r="G91" i="4"/>
  <c r="Z90" i="4"/>
  <c r="V90" i="4"/>
  <c r="S90" i="4"/>
  <c r="R90" i="4"/>
  <c r="O90" i="4"/>
  <c r="P90" i="4"/>
  <c r="M90" i="4"/>
  <c r="L90" i="4"/>
  <c r="I90" i="4"/>
  <c r="J90" i="4"/>
  <c r="E90" i="4"/>
  <c r="F90" i="4"/>
  <c r="G90" i="4"/>
  <c r="Z89" i="4"/>
  <c r="V89" i="4"/>
  <c r="R89" i="4"/>
  <c r="S89" i="4"/>
  <c r="O89" i="4"/>
  <c r="P89" i="4"/>
  <c r="M89" i="4"/>
  <c r="L89" i="4"/>
  <c r="J89" i="4"/>
  <c r="I89" i="4"/>
  <c r="F89" i="4"/>
  <c r="G89" i="4"/>
  <c r="W89" i="4"/>
  <c r="X89" i="4"/>
  <c r="E89" i="4"/>
  <c r="Z88" i="4"/>
  <c r="V88" i="4"/>
  <c r="R88" i="4"/>
  <c r="S88" i="4"/>
  <c r="P88" i="4"/>
  <c r="O88" i="4"/>
  <c r="L88" i="4"/>
  <c r="M88" i="4"/>
  <c r="I88" i="4"/>
  <c r="J88" i="4"/>
  <c r="W88" i="4"/>
  <c r="X88" i="4"/>
  <c r="E88" i="4"/>
  <c r="F88" i="4"/>
  <c r="G88" i="4"/>
  <c r="Z87" i="4"/>
  <c r="V87" i="4"/>
  <c r="S87" i="4"/>
  <c r="R87" i="4"/>
  <c r="O87" i="4"/>
  <c r="P87" i="4"/>
  <c r="L87" i="4"/>
  <c r="M87" i="4"/>
  <c r="J87" i="4"/>
  <c r="I87" i="4"/>
  <c r="E87" i="4"/>
  <c r="F87" i="4"/>
  <c r="G87" i="4"/>
  <c r="Z86" i="4"/>
  <c r="V86" i="4"/>
  <c r="R86" i="4"/>
  <c r="S86" i="4"/>
  <c r="O86" i="4"/>
  <c r="P86" i="4"/>
  <c r="M86" i="4"/>
  <c r="L86" i="4"/>
  <c r="I86" i="4"/>
  <c r="J86" i="4"/>
  <c r="G86" i="4"/>
  <c r="F86" i="4"/>
  <c r="E86" i="4"/>
  <c r="Z85" i="4"/>
  <c r="V85" i="4"/>
  <c r="R85" i="4"/>
  <c r="S85" i="4"/>
  <c r="P85" i="4"/>
  <c r="O85" i="4"/>
  <c r="L85" i="4"/>
  <c r="M85" i="4"/>
  <c r="I85" i="4"/>
  <c r="J85" i="4"/>
  <c r="E85" i="4"/>
  <c r="F85" i="4"/>
  <c r="G85" i="4"/>
  <c r="Z84" i="4"/>
  <c r="V84" i="4"/>
  <c r="S84" i="4"/>
  <c r="R84" i="4"/>
  <c r="P84" i="4"/>
  <c r="O84" i="4"/>
  <c r="L84" i="4"/>
  <c r="M84" i="4"/>
  <c r="J84" i="4"/>
  <c r="I84" i="4"/>
  <c r="F84" i="4"/>
  <c r="G84" i="4"/>
  <c r="W84" i="4"/>
  <c r="X84" i="4"/>
  <c r="E84" i="4"/>
  <c r="Z83" i="4"/>
  <c r="V83" i="4"/>
  <c r="R83" i="4"/>
  <c r="S83" i="4"/>
  <c r="O83" i="4"/>
  <c r="P83" i="4"/>
  <c r="M83" i="4"/>
  <c r="L83" i="4"/>
  <c r="I83" i="4"/>
  <c r="J83" i="4"/>
  <c r="F83" i="4"/>
  <c r="G83" i="4"/>
  <c r="E83" i="4"/>
  <c r="Z82" i="4"/>
  <c r="V82" i="4"/>
  <c r="S82" i="4"/>
  <c r="R82" i="4"/>
  <c r="O82" i="4"/>
  <c r="P82" i="4"/>
  <c r="M82" i="4"/>
  <c r="L82" i="4"/>
  <c r="I82" i="4"/>
  <c r="J82" i="4"/>
  <c r="E82" i="4"/>
  <c r="F82" i="4"/>
  <c r="G82" i="4"/>
  <c r="W82" i="4"/>
  <c r="X82" i="4"/>
  <c r="Z81" i="4"/>
  <c r="V81" i="4"/>
  <c r="R81" i="4"/>
  <c r="S81" i="4"/>
  <c r="O81" i="4"/>
  <c r="P81" i="4"/>
  <c r="L81" i="4"/>
  <c r="M81" i="4"/>
  <c r="W81" i="4"/>
  <c r="X81" i="4"/>
  <c r="J81" i="4"/>
  <c r="I81" i="4"/>
  <c r="G81" i="4"/>
  <c r="F81" i="4"/>
  <c r="E81" i="4"/>
  <c r="Z80" i="4"/>
  <c r="V80" i="4"/>
  <c r="R80" i="4"/>
  <c r="S80" i="4"/>
  <c r="P80" i="4"/>
  <c r="O80" i="4"/>
  <c r="L80" i="4"/>
  <c r="M80" i="4"/>
  <c r="J80" i="4"/>
  <c r="I80" i="4"/>
  <c r="E80" i="4"/>
  <c r="F80" i="4"/>
  <c r="G80" i="4"/>
  <c r="W80" i="4"/>
  <c r="X80" i="4"/>
  <c r="Z79" i="4"/>
  <c r="V79" i="4"/>
  <c r="S79" i="4"/>
  <c r="R79" i="4"/>
  <c r="O79" i="4"/>
  <c r="P79" i="4"/>
  <c r="L79" i="4"/>
  <c r="M79" i="4"/>
  <c r="I79" i="4"/>
  <c r="J79" i="4"/>
  <c r="E79" i="4"/>
  <c r="F79" i="4"/>
  <c r="G79" i="4"/>
  <c r="W79" i="4"/>
  <c r="X79" i="4"/>
  <c r="Z78" i="4"/>
  <c r="V78" i="4"/>
  <c r="S78" i="4"/>
  <c r="R78" i="4"/>
  <c r="O78" i="4"/>
  <c r="P78" i="4"/>
  <c r="M78" i="4"/>
  <c r="L78" i="4"/>
  <c r="J78" i="4"/>
  <c r="I78" i="4"/>
  <c r="G78" i="4"/>
  <c r="F78" i="4"/>
  <c r="E78" i="4"/>
  <c r="Z77" i="4"/>
  <c r="V77" i="4"/>
  <c r="S77" i="4"/>
  <c r="R77" i="4"/>
  <c r="P77" i="4"/>
  <c r="O77" i="4"/>
  <c r="L77" i="4"/>
  <c r="M77" i="4"/>
  <c r="I77" i="4"/>
  <c r="J77" i="4"/>
  <c r="F77" i="4"/>
  <c r="G77" i="4"/>
  <c r="W77" i="4"/>
  <c r="X77" i="4"/>
  <c r="E77" i="4"/>
  <c r="Z76" i="4"/>
  <c r="V76" i="4"/>
  <c r="R76" i="4"/>
  <c r="S76" i="4"/>
  <c r="P76" i="4"/>
  <c r="O76" i="4"/>
  <c r="L76" i="4"/>
  <c r="M76" i="4"/>
  <c r="J76" i="4"/>
  <c r="I76" i="4"/>
  <c r="F76" i="4"/>
  <c r="G76" i="4"/>
  <c r="E76" i="4"/>
  <c r="Z75" i="4"/>
  <c r="V75" i="4"/>
  <c r="R75" i="4"/>
  <c r="S75" i="4"/>
  <c r="O75" i="4"/>
  <c r="P75" i="4"/>
  <c r="M75" i="4"/>
  <c r="L75" i="4"/>
  <c r="J75" i="4"/>
  <c r="I75" i="4"/>
  <c r="F75" i="4"/>
  <c r="G75" i="4"/>
  <c r="E75" i="4"/>
  <c r="Z74" i="4"/>
  <c r="V74" i="4"/>
  <c r="S74" i="4"/>
  <c r="R74" i="4"/>
  <c r="O74" i="4"/>
  <c r="P74" i="4"/>
  <c r="M74" i="4"/>
  <c r="L74" i="4"/>
  <c r="I74" i="4"/>
  <c r="J74" i="4"/>
  <c r="E74" i="4"/>
  <c r="F74" i="4"/>
  <c r="G74" i="4"/>
  <c r="W74" i="4"/>
  <c r="X74" i="4"/>
  <c r="Z73" i="4"/>
  <c r="V73" i="4"/>
  <c r="R73" i="4"/>
  <c r="S73" i="4"/>
  <c r="O73" i="4"/>
  <c r="P73" i="4"/>
  <c r="L73" i="4"/>
  <c r="M73" i="4"/>
  <c r="W73" i="4"/>
  <c r="X73" i="4"/>
  <c r="J73" i="4"/>
  <c r="I73" i="4"/>
  <c r="G73" i="4"/>
  <c r="F73" i="4"/>
  <c r="E73" i="4"/>
  <c r="Z72" i="4"/>
  <c r="V72" i="4"/>
  <c r="R72" i="4"/>
  <c r="S72" i="4"/>
  <c r="P72" i="4"/>
  <c r="O72" i="4"/>
  <c r="L72" i="4"/>
  <c r="M72" i="4"/>
  <c r="I72" i="4"/>
  <c r="J72" i="4"/>
  <c r="E72" i="4"/>
  <c r="F72" i="4"/>
  <c r="G72" i="4"/>
  <c r="W72" i="4"/>
  <c r="X72" i="4"/>
  <c r="Z71" i="4"/>
  <c r="V71" i="4"/>
  <c r="S71" i="4"/>
  <c r="R71" i="4"/>
  <c r="O71" i="4"/>
  <c r="P71" i="4"/>
  <c r="L71" i="4"/>
  <c r="M71" i="4"/>
  <c r="I71" i="4"/>
  <c r="J71" i="4"/>
  <c r="G71" i="4"/>
  <c r="E71" i="4"/>
  <c r="F71" i="4"/>
  <c r="Z70" i="4"/>
  <c r="V70" i="4"/>
  <c r="S70" i="4"/>
  <c r="R70" i="4"/>
  <c r="O70" i="4"/>
  <c r="P70" i="4"/>
  <c r="M70" i="4"/>
  <c r="L70" i="4"/>
  <c r="J70" i="4"/>
  <c r="I70" i="4"/>
  <c r="G70" i="4"/>
  <c r="W70" i="4"/>
  <c r="X70" i="4"/>
  <c r="F70" i="4"/>
  <c r="E70" i="4"/>
  <c r="Z69" i="4"/>
  <c r="V69" i="4"/>
  <c r="S69" i="4"/>
  <c r="R69" i="4"/>
  <c r="P69" i="4"/>
  <c r="O69" i="4"/>
  <c r="L69" i="4"/>
  <c r="M69" i="4"/>
  <c r="I69" i="4"/>
  <c r="J69" i="4"/>
  <c r="F69" i="4"/>
  <c r="G69" i="4"/>
  <c r="W69" i="4"/>
  <c r="X69" i="4"/>
  <c r="E69" i="4"/>
  <c r="Z68" i="4"/>
  <c r="V68" i="4"/>
  <c r="S68" i="4"/>
  <c r="R68" i="4"/>
  <c r="P68" i="4"/>
  <c r="O68" i="4"/>
  <c r="L68" i="4"/>
  <c r="M68" i="4"/>
  <c r="J68" i="4"/>
  <c r="I68" i="4"/>
  <c r="E68" i="4"/>
  <c r="F68" i="4"/>
  <c r="G68" i="4"/>
  <c r="W68" i="4"/>
  <c r="X68" i="4"/>
  <c r="Z67" i="4"/>
  <c r="V67" i="4"/>
  <c r="R67" i="4"/>
  <c r="S67" i="4"/>
  <c r="O67" i="4"/>
  <c r="P67" i="4"/>
  <c r="M67" i="4"/>
  <c r="L67" i="4"/>
  <c r="J67" i="4"/>
  <c r="I67" i="4"/>
  <c r="F67" i="4"/>
  <c r="G67" i="4"/>
  <c r="E67" i="4"/>
  <c r="Z66" i="4"/>
  <c r="V66" i="4"/>
  <c r="S66" i="4"/>
  <c r="R66" i="4"/>
  <c r="O66" i="4"/>
  <c r="P66" i="4"/>
  <c r="M66" i="4"/>
  <c r="L66" i="4"/>
  <c r="I66" i="4"/>
  <c r="J66" i="4"/>
  <c r="E66" i="4"/>
  <c r="F66" i="4"/>
  <c r="G66" i="4"/>
  <c r="W66" i="4"/>
  <c r="X66" i="4"/>
  <c r="Z65" i="4"/>
  <c r="V65" i="4"/>
  <c r="R65" i="4"/>
  <c r="S65" i="4"/>
  <c r="O65" i="4"/>
  <c r="P65" i="4"/>
  <c r="M65" i="4"/>
  <c r="L65" i="4"/>
  <c r="J65" i="4"/>
  <c r="I65" i="4"/>
  <c r="E65" i="4"/>
  <c r="F65" i="4"/>
  <c r="G65" i="4"/>
  <c r="Z64" i="4"/>
  <c r="V64" i="4"/>
  <c r="R64" i="4"/>
  <c r="S64" i="4"/>
  <c r="P64" i="4"/>
  <c r="O64" i="4"/>
  <c r="L64" i="4"/>
  <c r="M64" i="4"/>
  <c r="I64" i="4"/>
  <c r="J64" i="4"/>
  <c r="E64" i="4"/>
  <c r="F64" i="4"/>
  <c r="G64" i="4"/>
  <c r="W64" i="4"/>
  <c r="X64" i="4"/>
  <c r="Z63" i="4"/>
  <c r="V63" i="4"/>
  <c r="S63" i="4"/>
  <c r="R63" i="4"/>
  <c r="O63" i="4"/>
  <c r="P63" i="4"/>
  <c r="M63" i="4"/>
  <c r="L63" i="4"/>
  <c r="I63" i="4"/>
  <c r="J63" i="4"/>
  <c r="G63" i="4"/>
  <c r="E63" i="4"/>
  <c r="F63" i="4"/>
  <c r="Z62" i="4"/>
  <c r="V62" i="4"/>
  <c r="R62" i="4"/>
  <c r="S62" i="4"/>
  <c r="O62" i="4"/>
  <c r="P62" i="4"/>
  <c r="L62" i="4"/>
  <c r="M62" i="4"/>
  <c r="J62" i="4"/>
  <c r="I62" i="4"/>
  <c r="E62" i="4"/>
  <c r="F62" i="4"/>
  <c r="G62" i="4"/>
  <c r="W62" i="4"/>
  <c r="X62" i="4"/>
  <c r="Z61" i="4"/>
  <c r="V61" i="4"/>
  <c r="R61" i="4"/>
  <c r="S61" i="4"/>
  <c r="P61" i="4"/>
  <c r="O61" i="4"/>
  <c r="M61" i="4"/>
  <c r="L61" i="4"/>
  <c r="J61" i="4"/>
  <c r="I61" i="4"/>
  <c r="E61" i="4"/>
  <c r="F61" i="4"/>
  <c r="G61" i="4"/>
  <c r="Z60" i="4"/>
  <c r="V60" i="4"/>
  <c r="S60" i="4"/>
  <c r="R60" i="4"/>
  <c r="O60" i="4"/>
  <c r="P60" i="4"/>
  <c r="L60" i="4"/>
  <c r="M60" i="4"/>
  <c r="I60" i="4"/>
  <c r="J60" i="4"/>
  <c r="E60" i="4"/>
  <c r="F60" i="4"/>
  <c r="G60" i="4"/>
  <c r="Z59" i="4"/>
  <c r="V59" i="4"/>
  <c r="S59" i="4"/>
  <c r="R59" i="4"/>
  <c r="O59" i="4"/>
  <c r="P59" i="4"/>
  <c r="M59" i="4"/>
  <c r="W59" i="4"/>
  <c r="X59" i="4"/>
  <c r="L59" i="4"/>
  <c r="J59" i="4"/>
  <c r="I59" i="4"/>
  <c r="G59" i="4"/>
  <c r="F59" i="4"/>
  <c r="E59" i="4"/>
  <c r="Z58" i="4"/>
  <c r="V58" i="4"/>
  <c r="R58" i="4"/>
  <c r="S58" i="4"/>
  <c r="P58" i="4"/>
  <c r="O58" i="4"/>
  <c r="L58" i="4"/>
  <c r="M58" i="4"/>
  <c r="I58" i="4"/>
  <c r="J58" i="4"/>
  <c r="F58" i="4"/>
  <c r="G58" i="4"/>
  <c r="W58" i="4"/>
  <c r="X58" i="4"/>
  <c r="E58" i="4"/>
  <c r="Z57" i="4"/>
  <c r="V57" i="4"/>
  <c r="S57" i="4"/>
  <c r="R57" i="4"/>
  <c r="P57" i="4"/>
  <c r="O57" i="4"/>
  <c r="L57" i="4"/>
  <c r="M57" i="4"/>
  <c r="I57" i="4"/>
  <c r="J57" i="4"/>
  <c r="E57" i="4"/>
  <c r="F57" i="4"/>
  <c r="G57" i="4"/>
  <c r="W57" i="4"/>
  <c r="X57" i="4"/>
  <c r="Z56" i="4"/>
  <c r="V56" i="4"/>
  <c r="S56" i="4"/>
  <c r="R56" i="4"/>
  <c r="O56" i="4"/>
  <c r="P56" i="4"/>
  <c r="M56" i="4"/>
  <c r="L56" i="4"/>
  <c r="I56" i="4"/>
  <c r="J56" i="4"/>
  <c r="F56" i="4"/>
  <c r="G56" i="4"/>
  <c r="W56" i="4"/>
  <c r="X56" i="4"/>
  <c r="E56" i="4"/>
  <c r="Z55" i="4"/>
  <c r="V55" i="4"/>
  <c r="S55" i="4"/>
  <c r="R55" i="4"/>
  <c r="P55" i="4"/>
  <c r="O55" i="4"/>
  <c r="M55" i="4"/>
  <c r="L55" i="4"/>
  <c r="I55" i="4"/>
  <c r="J55" i="4"/>
  <c r="F55" i="4"/>
  <c r="G55" i="4"/>
  <c r="W55" i="4"/>
  <c r="X55" i="4"/>
  <c r="E55" i="4"/>
  <c r="Z54" i="4"/>
  <c r="V54" i="4"/>
  <c r="R54" i="4"/>
  <c r="S54" i="4"/>
  <c r="P54" i="4"/>
  <c r="O54" i="4"/>
  <c r="L54" i="4"/>
  <c r="M54" i="4"/>
  <c r="J54" i="4"/>
  <c r="I54" i="4"/>
  <c r="E54" i="4"/>
  <c r="F54" i="4"/>
  <c r="G54" i="4"/>
  <c r="W54" i="4"/>
  <c r="X54" i="4"/>
  <c r="Z53" i="4"/>
  <c r="V53" i="4"/>
  <c r="R53" i="4"/>
  <c r="S53" i="4"/>
  <c r="O53" i="4"/>
  <c r="P53" i="4"/>
  <c r="M53" i="4"/>
  <c r="L53" i="4"/>
  <c r="J53" i="4"/>
  <c r="I53" i="4"/>
  <c r="E53" i="4"/>
  <c r="F53" i="4"/>
  <c r="G53" i="4"/>
  <c r="Z52" i="4"/>
  <c r="V52" i="4"/>
  <c r="S52" i="4"/>
  <c r="R52" i="4"/>
  <c r="O52" i="4"/>
  <c r="P52" i="4"/>
  <c r="M52" i="4"/>
  <c r="L52" i="4"/>
  <c r="I52" i="4"/>
  <c r="J52" i="4"/>
  <c r="E52" i="4"/>
  <c r="F52" i="4"/>
  <c r="G52" i="4"/>
  <c r="Z51" i="4"/>
  <c r="V51" i="4"/>
  <c r="S51" i="4"/>
  <c r="R51" i="4"/>
  <c r="O51" i="4"/>
  <c r="P51" i="4"/>
  <c r="L51" i="4"/>
  <c r="M51" i="4"/>
  <c r="W51" i="4"/>
  <c r="X51" i="4"/>
  <c r="J51" i="4"/>
  <c r="I51" i="4"/>
  <c r="G51" i="4"/>
  <c r="F51" i="4"/>
  <c r="E51" i="4"/>
  <c r="Z50" i="4"/>
  <c r="V50" i="4"/>
  <c r="R50" i="4"/>
  <c r="S50" i="4"/>
  <c r="P50" i="4"/>
  <c r="O50" i="4"/>
  <c r="L50" i="4"/>
  <c r="M50" i="4"/>
  <c r="I50" i="4"/>
  <c r="J50" i="4"/>
  <c r="F50" i="4"/>
  <c r="G50" i="4"/>
  <c r="E50" i="4"/>
  <c r="Z49" i="4"/>
  <c r="V49" i="4"/>
  <c r="S49" i="4"/>
  <c r="R49" i="4"/>
  <c r="P49" i="4"/>
  <c r="O49" i="4"/>
  <c r="L49" i="4"/>
  <c r="M49" i="4"/>
  <c r="I49" i="4"/>
  <c r="J49" i="4"/>
  <c r="G49" i="4"/>
  <c r="W49" i="4"/>
  <c r="X49" i="4"/>
  <c r="E49" i="4"/>
  <c r="F49" i="4"/>
  <c r="Z48" i="4"/>
  <c r="V48" i="4"/>
  <c r="S48" i="4"/>
  <c r="R48" i="4"/>
  <c r="O48" i="4"/>
  <c r="P48" i="4"/>
  <c r="M48" i="4"/>
  <c r="L48" i="4"/>
  <c r="I48" i="4"/>
  <c r="J48" i="4"/>
  <c r="F48" i="4"/>
  <c r="G48" i="4"/>
  <c r="W48" i="4"/>
  <c r="X48" i="4"/>
  <c r="E48" i="4"/>
  <c r="Z47" i="4"/>
  <c r="V47" i="4"/>
  <c r="R47" i="4"/>
  <c r="S47" i="4"/>
  <c r="P47" i="4"/>
  <c r="O47" i="4"/>
  <c r="M47" i="4"/>
  <c r="L47" i="4"/>
  <c r="I47" i="4"/>
  <c r="J47" i="4"/>
  <c r="E47" i="4"/>
  <c r="F47" i="4"/>
  <c r="G47" i="4"/>
  <c r="W47" i="4"/>
  <c r="X47" i="4"/>
  <c r="Z46" i="4"/>
  <c r="V46" i="4"/>
  <c r="R46" i="4"/>
  <c r="S46" i="4"/>
  <c r="O46" i="4"/>
  <c r="P46" i="4"/>
  <c r="L46" i="4"/>
  <c r="M46" i="4"/>
  <c r="J46" i="4"/>
  <c r="I46" i="4"/>
  <c r="E46" i="4"/>
  <c r="F46" i="4"/>
  <c r="G46" i="4"/>
  <c r="Z45" i="4"/>
  <c r="V45" i="4"/>
  <c r="R45" i="4"/>
  <c r="S45" i="4"/>
  <c r="P45" i="4"/>
  <c r="O45" i="4"/>
  <c r="M45" i="4"/>
  <c r="L45" i="4"/>
  <c r="J45" i="4"/>
  <c r="I45" i="4"/>
  <c r="E45" i="4"/>
  <c r="F45" i="4"/>
  <c r="G45" i="4"/>
  <c r="W45" i="4"/>
  <c r="X45" i="4"/>
  <c r="Z44" i="4"/>
  <c r="V44" i="4"/>
  <c r="S44" i="4"/>
  <c r="R44" i="4"/>
  <c r="O44" i="4"/>
  <c r="P44" i="4"/>
  <c r="L44" i="4"/>
  <c r="M44" i="4"/>
  <c r="I44" i="4"/>
  <c r="J44" i="4"/>
  <c r="E44" i="4"/>
  <c r="F44" i="4"/>
  <c r="G44" i="4"/>
  <c r="Z43" i="4"/>
  <c r="V43" i="4"/>
  <c r="S43" i="4"/>
  <c r="R43" i="4"/>
  <c r="O43" i="4"/>
  <c r="P43" i="4"/>
  <c r="M43" i="4"/>
  <c r="L43" i="4"/>
  <c r="J43" i="4"/>
  <c r="I43" i="4"/>
  <c r="G43" i="4"/>
  <c r="W43" i="4"/>
  <c r="X43" i="4"/>
  <c r="F43" i="4"/>
  <c r="E43" i="4"/>
  <c r="Z42" i="4"/>
  <c r="V42" i="4"/>
  <c r="R42" i="4"/>
  <c r="S42" i="4"/>
  <c r="P42" i="4"/>
  <c r="O42" i="4"/>
  <c r="L42" i="4"/>
  <c r="M42" i="4"/>
  <c r="J42" i="4"/>
  <c r="W42" i="4"/>
  <c r="X42" i="4"/>
  <c r="I42" i="4"/>
  <c r="F42" i="4"/>
  <c r="G42" i="4"/>
  <c r="E42" i="4"/>
  <c r="Z41" i="4"/>
  <c r="V41" i="4"/>
  <c r="S41" i="4"/>
  <c r="R41" i="4"/>
  <c r="P41" i="4"/>
  <c r="O41" i="4"/>
  <c r="L41" i="4"/>
  <c r="M41" i="4"/>
  <c r="I41" i="4"/>
  <c r="J41" i="4"/>
  <c r="E41" i="4"/>
  <c r="F41" i="4"/>
  <c r="G41" i="4"/>
  <c r="Z40" i="4"/>
  <c r="V40" i="4"/>
  <c r="S40" i="4"/>
  <c r="R40" i="4"/>
  <c r="O40" i="4"/>
  <c r="P40" i="4"/>
  <c r="M40" i="4"/>
  <c r="L40" i="4"/>
  <c r="J40" i="4"/>
  <c r="I40" i="4"/>
  <c r="F40" i="4"/>
  <c r="G40" i="4"/>
  <c r="W40" i="4"/>
  <c r="X40" i="4"/>
  <c r="E40" i="4"/>
  <c r="Z39" i="4"/>
  <c r="V39" i="4"/>
  <c r="S39" i="4"/>
  <c r="R39" i="4"/>
  <c r="P39" i="4"/>
  <c r="O39" i="4"/>
  <c r="M39" i="4"/>
  <c r="L39" i="4"/>
  <c r="I39" i="4"/>
  <c r="J39" i="4"/>
  <c r="F39" i="4"/>
  <c r="G39" i="4"/>
  <c r="W39" i="4"/>
  <c r="X39" i="4"/>
  <c r="E39" i="4"/>
  <c r="Z38" i="4"/>
  <c r="V38" i="4"/>
  <c r="R38" i="4"/>
  <c r="S38" i="4"/>
  <c r="O38" i="4"/>
  <c r="P38" i="4"/>
  <c r="L38" i="4"/>
  <c r="M38" i="4"/>
  <c r="J38" i="4"/>
  <c r="I38" i="4"/>
  <c r="E38" i="4"/>
  <c r="F38" i="4"/>
  <c r="G38" i="4"/>
  <c r="W38" i="4"/>
  <c r="X38" i="4"/>
  <c r="Z37" i="4"/>
  <c r="V37" i="4"/>
  <c r="R37" i="4"/>
  <c r="S37" i="4"/>
  <c r="O37" i="4"/>
  <c r="P37" i="4"/>
  <c r="W37" i="4"/>
  <c r="X37" i="4"/>
  <c r="M37" i="4"/>
  <c r="L37" i="4"/>
  <c r="J37" i="4"/>
  <c r="I37" i="4"/>
  <c r="F37" i="4"/>
  <c r="G37" i="4"/>
  <c r="E37" i="4"/>
  <c r="Z36" i="4"/>
  <c r="V36" i="4"/>
  <c r="S36" i="4"/>
  <c r="R36" i="4"/>
  <c r="P36" i="4"/>
  <c r="O36" i="4"/>
  <c r="L36" i="4"/>
  <c r="M36" i="4"/>
  <c r="I36" i="4"/>
  <c r="J36" i="4"/>
  <c r="E36" i="4"/>
  <c r="F36" i="4"/>
  <c r="G36" i="4"/>
  <c r="Z35" i="4"/>
  <c r="V35" i="4"/>
  <c r="S35" i="4"/>
  <c r="R35" i="4"/>
  <c r="O35" i="4"/>
  <c r="P35" i="4"/>
  <c r="L35" i="4"/>
  <c r="M35" i="4"/>
  <c r="W35" i="4"/>
  <c r="X35" i="4"/>
  <c r="J35" i="4"/>
  <c r="I35" i="4"/>
  <c r="G35" i="4"/>
  <c r="F35" i="4"/>
  <c r="E35" i="4"/>
  <c r="Z34" i="4"/>
  <c r="V34" i="4"/>
  <c r="R34" i="4"/>
  <c r="S34" i="4"/>
  <c r="P34" i="4"/>
  <c r="O34" i="4"/>
  <c r="L34" i="4"/>
  <c r="M34" i="4"/>
  <c r="I34" i="4"/>
  <c r="J34" i="4"/>
  <c r="F34" i="4"/>
  <c r="G34" i="4"/>
  <c r="W34" i="4"/>
  <c r="X34" i="4"/>
  <c r="E34" i="4"/>
  <c r="Z33" i="4"/>
  <c r="V33" i="4"/>
  <c r="S33" i="4"/>
  <c r="R33" i="4"/>
  <c r="P33" i="4"/>
  <c r="O33" i="4"/>
  <c r="L33" i="4"/>
  <c r="M33" i="4"/>
  <c r="I33" i="4"/>
  <c r="J33" i="4"/>
  <c r="G33" i="4"/>
  <c r="W33" i="4"/>
  <c r="X33" i="4"/>
  <c r="E33" i="4"/>
  <c r="F33" i="4"/>
  <c r="Z32" i="4"/>
  <c r="V32" i="4"/>
  <c r="S32" i="4"/>
  <c r="R32" i="4"/>
  <c r="O32" i="4"/>
  <c r="P32" i="4"/>
  <c r="M32" i="4"/>
  <c r="L32" i="4"/>
  <c r="I32" i="4"/>
  <c r="J32" i="4"/>
  <c r="G32" i="4"/>
  <c r="F32" i="4"/>
  <c r="E32" i="4"/>
  <c r="Z31" i="4"/>
  <c r="V31" i="4"/>
  <c r="R31" i="4"/>
  <c r="S31" i="4"/>
  <c r="P31" i="4"/>
  <c r="O31" i="4"/>
  <c r="M31" i="4"/>
  <c r="L31" i="4"/>
  <c r="I31" i="4"/>
  <c r="J31" i="4"/>
  <c r="E31" i="4"/>
  <c r="F31" i="4"/>
  <c r="G31" i="4"/>
  <c r="W31" i="4"/>
  <c r="X31" i="4"/>
  <c r="Z30" i="4"/>
  <c r="V30" i="4"/>
  <c r="R30" i="4"/>
  <c r="S30" i="4"/>
  <c r="P30" i="4"/>
  <c r="O30" i="4"/>
  <c r="L30" i="4"/>
  <c r="M30" i="4"/>
  <c r="J30" i="4"/>
  <c r="I30" i="4"/>
  <c r="E30" i="4"/>
  <c r="F30" i="4"/>
  <c r="G30" i="4"/>
  <c r="W30" i="4"/>
  <c r="X30" i="4"/>
  <c r="Z29" i="4"/>
  <c r="V29" i="4"/>
  <c r="R29" i="4"/>
  <c r="S29" i="4"/>
  <c r="P29" i="4"/>
  <c r="O29" i="4"/>
  <c r="M29" i="4"/>
  <c r="L29" i="4"/>
  <c r="J29" i="4"/>
  <c r="I29" i="4"/>
  <c r="E29" i="4"/>
  <c r="F29" i="4"/>
  <c r="G29" i="4"/>
  <c r="W29" i="4"/>
  <c r="X29" i="4"/>
  <c r="Z28" i="4"/>
  <c r="V28" i="4"/>
  <c r="S28" i="4"/>
  <c r="R28" i="4"/>
  <c r="O28" i="4"/>
  <c r="P28" i="4"/>
  <c r="L28" i="4"/>
  <c r="M28" i="4"/>
  <c r="I28" i="4"/>
  <c r="J28" i="4"/>
  <c r="E28" i="4"/>
  <c r="F28" i="4"/>
  <c r="G28" i="4"/>
  <c r="Z27" i="4"/>
  <c r="V27" i="4"/>
  <c r="S27" i="4"/>
  <c r="R27" i="4"/>
  <c r="O27" i="4"/>
  <c r="P27" i="4"/>
  <c r="L27" i="4"/>
  <c r="M27" i="4"/>
  <c r="J27" i="4"/>
  <c r="I27" i="4"/>
  <c r="G27" i="4"/>
  <c r="F27" i="4"/>
  <c r="E27" i="4"/>
  <c r="Z26" i="4"/>
  <c r="V26" i="4"/>
  <c r="R26" i="4"/>
  <c r="S26" i="4"/>
  <c r="P26" i="4"/>
  <c r="O26" i="4"/>
  <c r="M26" i="4"/>
  <c r="L26" i="4"/>
  <c r="I26" i="4"/>
  <c r="J26" i="4"/>
  <c r="F26" i="4"/>
  <c r="G26" i="4"/>
  <c r="E26" i="4"/>
  <c r="Z25" i="4"/>
  <c r="V25" i="4"/>
  <c r="S25" i="4"/>
  <c r="R25" i="4"/>
  <c r="P25" i="4"/>
  <c r="O25" i="4"/>
  <c r="L25" i="4"/>
  <c r="M25" i="4"/>
  <c r="I25" i="4"/>
  <c r="J25" i="4"/>
  <c r="W25" i="4"/>
  <c r="X25" i="4"/>
  <c r="G25" i="4"/>
  <c r="E25" i="4"/>
  <c r="F25" i="4"/>
  <c r="Z24" i="4"/>
  <c r="V24" i="4"/>
  <c r="R24" i="4"/>
  <c r="S24" i="4"/>
  <c r="O24" i="4"/>
  <c r="P24" i="4"/>
  <c r="M24" i="4"/>
  <c r="L24" i="4"/>
  <c r="I24" i="4"/>
  <c r="J24" i="4"/>
  <c r="F24" i="4"/>
  <c r="G24" i="4"/>
  <c r="E24" i="4"/>
  <c r="Z23" i="4"/>
  <c r="V23" i="4"/>
  <c r="R23" i="4"/>
  <c r="S23" i="4"/>
  <c r="P23" i="4"/>
  <c r="O23" i="4"/>
  <c r="L23" i="4"/>
  <c r="M23" i="4"/>
  <c r="I23" i="4"/>
  <c r="J23" i="4"/>
  <c r="E23" i="4"/>
  <c r="F23" i="4"/>
  <c r="G23" i="4"/>
  <c r="Z22" i="4"/>
  <c r="V22" i="4"/>
  <c r="S22" i="4"/>
  <c r="R22" i="4"/>
  <c r="O22" i="4"/>
  <c r="P22" i="4"/>
  <c r="L22" i="4"/>
  <c r="M22" i="4"/>
  <c r="J22" i="4"/>
  <c r="I22" i="4"/>
  <c r="G22" i="4"/>
  <c r="F22" i="4"/>
  <c r="E22" i="4"/>
  <c r="Z21" i="4"/>
  <c r="V21" i="4"/>
  <c r="R21" i="4"/>
  <c r="S21" i="4"/>
  <c r="O21" i="4"/>
  <c r="P21" i="4"/>
  <c r="M21" i="4"/>
  <c r="L21" i="4"/>
  <c r="I21" i="4"/>
  <c r="J21" i="4"/>
  <c r="E21" i="4"/>
  <c r="F21" i="4"/>
  <c r="G21" i="4"/>
  <c r="W21" i="4"/>
  <c r="X21" i="4"/>
  <c r="Z20" i="4"/>
  <c r="V20" i="4"/>
  <c r="S20" i="4"/>
  <c r="R20" i="4"/>
  <c r="P20" i="4"/>
  <c r="O20" i="4"/>
  <c r="L20" i="4"/>
  <c r="M20" i="4"/>
  <c r="I20" i="4"/>
  <c r="J20" i="4"/>
  <c r="G20" i="4"/>
  <c r="E20" i="4"/>
  <c r="F20" i="4"/>
  <c r="Z19" i="4"/>
  <c r="V19" i="4"/>
  <c r="R19" i="4"/>
  <c r="S19" i="4"/>
  <c r="P19" i="4"/>
  <c r="O19" i="4"/>
  <c r="L19" i="4"/>
  <c r="M19" i="4"/>
  <c r="J19" i="4"/>
  <c r="I19" i="4"/>
  <c r="F19" i="4"/>
  <c r="G19" i="4"/>
  <c r="W19" i="4"/>
  <c r="X19" i="4"/>
  <c r="E19" i="4"/>
  <c r="Z18" i="4"/>
  <c r="V18" i="4"/>
  <c r="R18" i="4"/>
  <c r="S18" i="4"/>
  <c r="O18" i="4"/>
  <c r="P18" i="4"/>
  <c r="M18" i="4"/>
  <c r="L18" i="4"/>
  <c r="I18" i="4"/>
  <c r="J18" i="4"/>
  <c r="E18" i="4"/>
  <c r="F18" i="4"/>
  <c r="G18" i="4"/>
  <c r="Z17" i="4"/>
  <c r="V17" i="4"/>
  <c r="S17" i="4"/>
  <c r="R17" i="4"/>
  <c r="O17" i="4"/>
  <c r="P17" i="4"/>
  <c r="L17" i="4"/>
  <c r="M17" i="4"/>
  <c r="J17" i="4"/>
  <c r="I17" i="4"/>
  <c r="E17" i="4"/>
  <c r="F17" i="4"/>
  <c r="G17" i="4"/>
  <c r="Z16" i="4"/>
  <c r="V16" i="4"/>
  <c r="S16" i="4"/>
  <c r="R16" i="4"/>
  <c r="O16" i="4"/>
  <c r="P16" i="4"/>
  <c r="M16" i="4"/>
  <c r="L16" i="4"/>
  <c r="I16" i="4"/>
  <c r="J16" i="4"/>
  <c r="G16" i="4"/>
  <c r="F16" i="4"/>
  <c r="E16" i="4"/>
  <c r="Z15" i="4"/>
  <c r="V15" i="4"/>
  <c r="R15" i="4"/>
  <c r="S15" i="4"/>
  <c r="P15" i="4"/>
  <c r="O15" i="4"/>
  <c r="L15" i="4"/>
  <c r="M15" i="4"/>
  <c r="I15" i="4"/>
  <c r="J15" i="4"/>
  <c r="F15" i="4"/>
  <c r="G15" i="4"/>
  <c r="E15" i="4"/>
  <c r="Z14" i="4"/>
  <c r="V14" i="4"/>
  <c r="R14" i="4"/>
  <c r="S14" i="4"/>
  <c r="P14" i="4"/>
  <c r="O14" i="4"/>
  <c r="L14" i="4"/>
  <c r="M14" i="4"/>
  <c r="I14" i="4"/>
  <c r="J14" i="4"/>
  <c r="E14" i="4"/>
  <c r="F14" i="4"/>
  <c r="G14" i="4"/>
  <c r="W14" i="4"/>
  <c r="X14" i="4"/>
  <c r="Z13" i="4"/>
  <c r="V13" i="4"/>
  <c r="R13" i="4"/>
  <c r="S13" i="4"/>
  <c r="O13" i="4"/>
  <c r="P13" i="4"/>
  <c r="M13" i="4"/>
  <c r="L13" i="4"/>
  <c r="J13" i="4"/>
  <c r="I13" i="4"/>
  <c r="F13" i="4"/>
  <c r="G13" i="4"/>
  <c r="W13" i="4"/>
  <c r="X13" i="4"/>
  <c r="E13" i="4"/>
  <c r="Z12" i="4"/>
  <c r="V12" i="4"/>
  <c r="S12" i="4"/>
  <c r="R12" i="4"/>
  <c r="O12" i="4"/>
  <c r="P12" i="4"/>
  <c r="L12" i="4"/>
  <c r="M12" i="4"/>
  <c r="I12" i="4"/>
  <c r="J12" i="4"/>
  <c r="G12" i="4"/>
  <c r="F12" i="4"/>
  <c r="E12" i="4"/>
  <c r="Z11" i="4"/>
  <c r="V11" i="4"/>
  <c r="R11" i="4"/>
  <c r="S11" i="4"/>
  <c r="P11" i="4"/>
  <c r="O11" i="4"/>
  <c r="L11" i="4"/>
  <c r="M11" i="4"/>
  <c r="I11" i="4"/>
  <c r="J11" i="4"/>
  <c r="E11" i="4"/>
  <c r="F11" i="4"/>
  <c r="G11" i="4"/>
  <c r="AF10" i="4"/>
  <c r="Z10" i="4"/>
  <c r="V10" i="4"/>
  <c r="R10" i="4"/>
  <c r="S10" i="4"/>
  <c r="O10" i="4"/>
  <c r="P10" i="4"/>
  <c r="M10" i="4"/>
  <c r="L10" i="4"/>
  <c r="I10" i="4"/>
  <c r="J10" i="4"/>
  <c r="E10" i="4"/>
  <c r="F10" i="4"/>
  <c r="G10" i="4"/>
  <c r="AF9" i="4"/>
  <c r="Z9" i="4"/>
  <c r="V9" i="4"/>
  <c r="R9" i="4"/>
  <c r="S9" i="4"/>
  <c r="O9" i="4"/>
  <c r="P9" i="4"/>
  <c r="L9" i="4"/>
  <c r="M9" i="4"/>
  <c r="I9" i="4"/>
  <c r="J9" i="4"/>
  <c r="E9" i="4"/>
  <c r="F9" i="4"/>
  <c r="G9" i="4"/>
  <c r="AF8" i="4"/>
  <c r="Z8" i="4"/>
  <c r="V8" i="4"/>
  <c r="R8" i="4"/>
  <c r="S8" i="4"/>
  <c r="P8" i="4"/>
  <c r="O8" i="4"/>
  <c r="M8" i="4"/>
  <c r="L8" i="4"/>
  <c r="J8" i="4"/>
  <c r="I8" i="4"/>
  <c r="E8" i="4"/>
  <c r="F8" i="4"/>
  <c r="G8" i="4"/>
  <c r="AF7" i="4"/>
  <c r="AD7" i="4"/>
  <c r="Z7" i="4"/>
  <c r="V7" i="4"/>
  <c r="R7" i="4"/>
  <c r="S7" i="4"/>
  <c r="O7" i="4"/>
  <c r="P7" i="4"/>
  <c r="L7" i="4"/>
  <c r="M7" i="4"/>
  <c r="J7" i="4"/>
  <c r="I7" i="4"/>
  <c r="E7" i="4"/>
  <c r="F7" i="4"/>
  <c r="G7" i="4"/>
  <c r="W7" i="4"/>
  <c r="X7" i="4"/>
  <c r="AF6" i="4"/>
  <c r="AD6" i="4"/>
  <c r="Z6" i="4"/>
  <c r="V6" i="4"/>
  <c r="R6" i="4"/>
  <c r="S6" i="4"/>
  <c r="P6" i="4"/>
  <c r="O6" i="4"/>
  <c r="L6" i="4"/>
  <c r="M6" i="4"/>
  <c r="J6" i="4"/>
  <c r="I6" i="4"/>
  <c r="F6" i="4"/>
  <c r="G6" i="4"/>
  <c r="E6" i="4"/>
  <c r="AF5" i="4"/>
  <c r="AF11" i="4"/>
  <c r="AD5" i="4"/>
  <c r="AD8" i="4"/>
  <c r="Z5" i="4"/>
  <c r="V5" i="4"/>
  <c r="S5" i="4"/>
  <c r="R5" i="4"/>
  <c r="O5" i="4"/>
  <c r="P5" i="4"/>
  <c r="M5" i="4"/>
  <c r="L5" i="4"/>
  <c r="I5" i="4"/>
  <c r="J5" i="4"/>
  <c r="E5" i="4"/>
  <c r="F5" i="4"/>
  <c r="G5" i="4"/>
  <c r="W5" i="4"/>
  <c r="X5" i="4"/>
  <c r="Y3" i="4"/>
  <c r="X3" i="4"/>
  <c r="R3" i="4"/>
  <c r="W18" i="4"/>
  <c r="X18" i="4"/>
  <c r="W24" i="4"/>
  <c r="X24" i="4"/>
  <c r="W8" i="4"/>
  <c r="X8" i="4"/>
  <c r="W26" i="4"/>
  <c r="X26" i="4"/>
  <c r="W15" i="4"/>
  <c r="X15" i="4"/>
  <c r="W50" i="4"/>
  <c r="X50" i="4"/>
  <c r="W32" i="4"/>
  <c r="X32" i="4"/>
  <c r="W41" i="4"/>
  <c r="X41" i="4"/>
  <c r="W86" i="4"/>
  <c r="X86" i="4"/>
  <c r="W6" i="4"/>
  <c r="X6" i="4"/>
  <c r="W9" i="4"/>
  <c r="X9" i="4"/>
  <c r="W10" i="4"/>
  <c r="X10" i="4"/>
  <c r="W16" i="4"/>
  <c r="X16" i="4"/>
  <c r="W22" i="4"/>
  <c r="X22" i="4"/>
  <c r="W27" i="4"/>
  <c r="X27" i="4"/>
  <c r="W46" i="4"/>
  <c r="X46" i="4"/>
  <c r="W159" i="4"/>
  <c r="X159" i="4"/>
  <c r="W11" i="4"/>
  <c r="X11" i="4"/>
  <c r="W17" i="4"/>
  <c r="X17" i="4"/>
  <c r="W23" i="4"/>
  <c r="X23" i="4"/>
  <c r="W60" i="4"/>
  <c r="X60" i="4"/>
  <c r="U3" i="4"/>
  <c r="W20" i="4"/>
  <c r="X20" i="4"/>
  <c r="W53" i="4"/>
  <c r="X53" i="4"/>
  <c r="W63" i="4"/>
  <c r="X63" i="4"/>
  <c r="W67" i="4"/>
  <c r="X67" i="4"/>
  <c r="W76" i="4"/>
  <c r="X76" i="4"/>
  <c r="W78" i="4"/>
  <c r="X78" i="4"/>
  <c r="W85" i="4"/>
  <c r="X85" i="4"/>
  <c r="W99" i="4"/>
  <c r="X99" i="4"/>
  <c r="W102" i="4"/>
  <c r="X102" i="4"/>
  <c r="W115" i="4"/>
  <c r="X115" i="4"/>
  <c r="W145" i="4"/>
  <c r="X145" i="4"/>
  <c r="W160" i="4"/>
  <c r="X160" i="4"/>
  <c r="W176" i="4"/>
  <c r="X176" i="4"/>
  <c r="W44" i="4"/>
  <c r="X44" i="4"/>
  <c r="F3" i="4"/>
  <c r="W61" i="4"/>
  <c r="X61" i="4"/>
  <c r="W112" i="4"/>
  <c r="X112" i="4"/>
  <c r="W129" i="4"/>
  <c r="X129" i="4"/>
  <c r="W186" i="4"/>
  <c r="X186" i="4"/>
  <c r="W111" i="4"/>
  <c r="X111" i="4"/>
  <c r="I3" i="4"/>
  <c r="W36" i="4"/>
  <c r="X36" i="4"/>
  <c r="W65" i="4"/>
  <c r="X65" i="4"/>
  <c r="W87" i="4"/>
  <c r="X87" i="4"/>
  <c r="W91" i="4"/>
  <c r="X91" i="4"/>
  <c r="W168" i="4"/>
  <c r="X168" i="4"/>
  <c r="W194" i="4"/>
  <c r="X194" i="4"/>
  <c r="L3" i="4"/>
  <c r="W71" i="4"/>
  <c r="X71" i="4"/>
  <c r="W109" i="4"/>
  <c r="X109" i="4"/>
  <c r="O3" i="4"/>
  <c r="W52" i="4"/>
  <c r="X52" i="4"/>
  <c r="W75" i="4"/>
  <c r="X75" i="4"/>
  <c r="W94" i="4"/>
  <c r="X94" i="4"/>
  <c r="W105" i="4"/>
  <c r="X105" i="4"/>
  <c r="W131" i="4"/>
  <c r="X131" i="4"/>
  <c r="W12" i="4"/>
  <c r="X12" i="4"/>
  <c r="W28" i="4"/>
  <c r="X28" i="4"/>
  <c r="W106" i="4"/>
  <c r="X106" i="4"/>
  <c r="W113" i="4"/>
  <c r="X113" i="4"/>
  <c r="W122" i="4"/>
  <c r="X122" i="4"/>
  <c r="W125" i="4"/>
  <c r="X125" i="4"/>
  <c r="W128" i="4"/>
  <c r="X128" i="4"/>
  <c r="W134" i="4"/>
  <c r="X134" i="4"/>
  <c r="W139" i="4"/>
  <c r="X139" i="4"/>
  <c r="W157" i="4"/>
  <c r="X157" i="4"/>
  <c r="W165" i="4"/>
  <c r="X165" i="4"/>
  <c r="W173" i="4"/>
  <c r="X173" i="4"/>
  <c r="W184" i="4"/>
  <c r="X184" i="4"/>
  <c r="W195" i="4"/>
  <c r="X195" i="4"/>
  <c r="W98" i="4"/>
  <c r="X98" i="4"/>
  <c r="W146" i="4"/>
  <c r="X146" i="4"/>
  <c r="W192" i="4"/>
  <c r="X192" i="4"/>
  <c r="W107" i="4"/>
  <c r="X107" i="4"/>
  <c r="W117" i="4"/>
  <c r="X117" i="4"/>
  <c r="W142" i="4"/>
  <c r="X142" i="4"/>
  <c r="W143" i="4"/>
  <c r="X143" i="4"/>
  <c r="W182" i="4"/>
  <c r="X182" i="4"/>
  <c r="W196" i="4"/>
  <c r="X196" i="4"/>
  <c r="W83" i="4"/>
  <c r="X83" i="4"/>
  <c r="W92" i="4"/>
  <c r="X92" i="4"/>
  <c r="W114" i="4"/>
  <c r="X114" i="4"/>
  <c r="W123" i="4"/>
  <c r="X123" i="4"/>
  <c r="W137" i="4"/>
  <c r="X137" i="4"/>
  <c r="W155" i="4"/>
  <c r="X155" i="4"/>
  <c r="W163" i="4"/>
  <c r="X163" i="4"/>
  <c r="W171" i="4"/>
  <c r="X171" i="4"/>
  <c r="W179" i="4"/>
  <c r="X179" i="4"/>
  <c r="W197" i="4"/>
  <c r="X197" i="4"/>
  <c r="W90" i="4"/>
  <c r="X90" i="4"/>
  <c r="W126" i="4"/>
  <c r="X126" i="4"/>
  <c r="W132" i="4"/>
  <c r="X132" i="4"/>
  <c r="W153" i="4"/>
  <c r="X153" i="4"/>
  <c r="W158" i="4"/>
  <c r="X158" i="4"/>
  <c r="W166" i="4"/>
  <c r="X166" i="4"/>
  <c r="W174" i="4"/>
  <c r="X174" i="4"/>
  <c r="W198" i="4"/>
  <c r="X198" i="4"/>
  <c r="W202" i="4"/>
  <c r="X202" i="4"/>
  <c r="W150" i="4"/>
  <c r="X150" i="4"/>
  <c r="W201" i="4"/>
  <c r="X201" i="4"/>
  <c r="W141" i="4"/>
  <c r="X141" i="4"/>
  <c r="W148" i="4"/>
  <c r="X148" i="4"/>
  <c r="W152" i="4"/>
  <c r="X152" i="4"/>
  <c r="W188" i="4"/>
  <c r="X18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Evelyn Aguilar Boronda</author>
  </authors>
  <commentList>
    <comment ref="D176" authorId="0" shapeId="0" xr:uid="{6B03EAC0-08BD-4277-A5F8-12805001B44C}">
      <text>
        <r>
          <rPr>
            <b/>
            <sz val="9"/>
            <color indexed="81"/>
            <rFont val="Tahoma"/>
            <family val="2"/>
          </rPr>
          <t>Evelyn Aguilar Boronda:</t>
        </r>
        <r>
          <rPr>
            <sz val="9"/>
            <color indexed="81"/>
            <rFont val="Tahoma"/>
            <family val="2"/>
          </rPr>
          <t xml:space="preserve">
Puntaje por corporación es ALTO, sin embargo, por tener peso local de residente se considera 2
</t>
        </r>
      </text>
    </comment>
  </commentList>
</comments>
</file>

<file path=xl/sharedStrings.xml><?xml version="1.0" encoding="utf-8"?>
<sst xmlns="http://schemas.openxmlformats.org/spreadsheetml/2006/main" count="5741" uniqueCount="1806">
  <si>
    <t>SA</t>
  </si>
  <si>
    <t>Pequeña Empresa</t>
  </si>
  <si>
    <t>SRL</t>
  </si>
  <si>
    <t>MicroEmpresa</t>
  </si>
  <si>
    <t>Grande Empresa</t>
  </si>
  <si>
    <t>Mediana Empresa</t>
  </si>
  <si>
    <t>EIRL</t>
  </si>
  <si>
    <t>Afganistán</t>
  </si>
  <si>
    <t>H</t>
  </si>
  <si>
    <t>PERU</t>
  </si>
  <si>
    <t>Islas Åland</t>
  </si>
  <si>
    <t>Albania</t>
  </si>
  <si>
    <t>Argelia</t>
  </si>
  <si>
    <t>Samoa Americana</t>
  </si>
  <si>
    <t>Andorra</t>
  </si>
  <si>
    <t>Angola</t>
  </si>
  <si>
    <t>Anguila</t>
  </si>
  <si>
    <t>Antártida</t>
  </si>
  <si>
    <t>Antigua y Barbuda</t>
  </si>
  <si>
    <t>L</t>
  </si>
  <si>
    <t>M</t>
  </si>
  <si>
    <t>Armenia</t>
  </si>
  <si>
    <t>Aruba</t>
  </si>
  <si>
    <t>Australia</t>
  </si>
  <si>
    <t>Austria</t>
  </si>
  <si>
    <t>Azerbaiyán</t>
  </si>
  <si>
    <t>Bahamas (el)</t>
  </si>
  <si>
    <t>Bahrein</t>
  </si>
  <si>
    <t>Bangladesh</t>
  </si>
  <si>
    <t>Barbados</t>
  </si>
  <si>
    <t>Bielorrusia</t>
  </si>
  <si>
    <t>HR</t>
  </si>
  <si>
    <t>Belice</t>
  </si>
  <si>
    <t>Benin</t>
  </si>
  <si>
    <t>Bermudas</t>
  </si>
  <si>
    <t>Bután</t>
  </si>
  <si>
    <t>Bonaire, San Eustaquio y Saba</t>
  </si>
  <si>
    <t>Bosnia y Herzegovina</t>
  </si>
  <si>
    <t>Botsuana</t>
  </si>
  <si>
    <t>Isla Bouvet</t>
  </si>
  <si>
    <t>Territorio Británico del Océano Índico (el)</t>
  </si>
  <si>
    <t>Brunei Darussalam</t>
  </si>
  <si>
    <t>Burkina Faso</t>
  </si>
  <si>
    <t>Burundi</t>
  </si>
  <si>
    <t>Cabo Verde</t>
  </si>
  <si>
    <t>Camboya</t>
  </si>
  <si>
    <t>Camerún</t>
  </si>
  <si>
    <t>Islas Caimán (el)</t>
  </si>
  <si>
    <t>República Centroafricana (la)</t>
  </si>
  <si>
    <t>Chad</t>
  </si>
  <si>
    <t>CHILE</t>
  </si>
  <si>
    <t>CHINA</t>
  </si>
  <si>
    <t>Isla de Navidad</t>
  </si>
  <si>
    <t>Islas Cocos (Keeling) (el)</t>
  </si>
  <si>
    <t>COLOMBIA</t>
  </si>
  <si>
    <t>Comoras (las)</t>
  </si>
  <si>
    <t>Congo (República Democrática del)</t>
  </si>
  <si>
    <t>Congo (el)</t>
  </si>
  <si>
    <t>Islas Cook (las)</t>
  </si>
  <si>
    <t>Costa Rica</t>
  </si>
  <si>
    <t>Costa de Marfil (Côte d'Ivoire)</t>
  </si>
  <si>
    <t>Croacia</t>
  </si>
  <si>
    <t>CUBA</t>
  </si>
  <si>
    <t>Curazao</t>
  </si>
  <si>
    <t>Chipre</t>
  </si>
  <si>
    <t>República Checa (la)</t>
  </si>
  <si>
    <t>Dinamarca</t>
  </si>
  <si>
    <t>Djibouti</t>
  </si>
  <si>
    <t>Dominica</t>
  </si>
  <si>
    <t>República Dominicana (el)</t>
  </si>
  <si>
    <t>ECUADOR</t>
  </si>
  <si>
    <t>Egipto</t>
  </si>
  <si>
    <t>El Salvador</t>
  </si>
  <si>
    <t>Guinea Ecuatorial</t>
  </si>
  <si>
    <t>Eritrea</t>
  </si>
  <si>
    <t>Estonia</t>
  </si>
  <si>
    <t>Etiopía</t>
  </si>
  <si>
    <t>Islas Malvinas (Falkland Islands)</t>
  </si>
  <si>
    <t>Islas Feroe (las)</t>
  </si>
  <si>
    <t>Fiyi</t>
  </si>
  <si>
    <t>Finlandia</t>
  </si>
  <si>
    <t>Francia</t>
  </si>
  <si>
    <t>Guayana Francesa</t>
  </si>
  <si>
    <t>Polinesia Francesa</t>
  </si>
  <si>
    <t>Territorios Australes Franceses (el)</t>
  </si>
  <si>
    <t>Gabón</t>
  </si>
  <si>
    <t>Gambia (el)</t>
  </si>
  <si>
    <t>Georgia</t>
  </si>
  <si>
    <t>Alemania</t>
  </si>
  <si>
    <t>Ghana</t>
  </si>
  <si>
    <t>Gibraltar</t>
  </si>
  <si>
    <t>Grecia</t>
  </si>
  <si>
    <t>Groenlandia</t>
  </si>
  <si>
    <t>Granada</t>
  </si>
  <si>
    <t>Guadalupe</t>
  </si>
  <si>
    <t>Guam</t>
  </si>
  <si>
    <t>GUATEMALA</t>
  </si>
  <si>
    <t>Guernsey</t>
  </si>
  <si>
    <t>Guinea</t>
  </si>
  <si>
    <t>Guinea-Bissau</t>
  </si>
  <si>
    <t>Guyana</t>
  </si>
  <si>
    <t>Haití</t>
  </si>
  <si>
    <t>La isla Heard y las islas McDonald</t>
  </si>
  <si>
    <t>La Santa Sede (la)</t>
  </si>
  <si>
    <t>Hong Kong</t>
  </si>
  <si>
    <t>Hungría</t>
  </si>
  <si>
    <t>Islandia</t>
  </si>
  <si>
    <t>Indonesia</t>
  </si>
  <si>
    <t>Irán (República Islámica del)</t>
  </si>
  <si>
    <t>P</t>
  </si>
  <si>
    <t>Iraq</t>
  </si>
  <si>
    <t>Irlanda</t>
  </si>
  <si>
    <t>Isla de Man</t>
  </si>
  <si>
    <t>Israel</t>
  </si>
  <si>
    <t>ITALY</t>
  </si>
  <si>
    <t>Jamaica</t>
  </si>
  <si>
    <t>Japón</t>
  </si>
  <si>
    <t>Jersey</t>
  </si>
  <si>
    <t>Jordania</t>
  </si>
  <si>
    <t>Kazajstán</t>
  </si>
  <si>
    <t>Kenia</t>
  </si>
  <si>
    <t>Kiribati</t>
  </si>
  <si>
    <t>Democrática de) Corea (la República de)</t>
  </si>
  <si>
    <t>Kosovo</t>
  </si>
  <si>
    <t>Kuwait</t>
  </si>
  <si>
    <t>Kirguistán</t>
  </si>
  <si>
    <t>República Democrática Popular Lao</t>
  </si>
  <si>
    <t>(la) Letonia</t>
  </si>
  <si>
    <t>Lesoto</t>
  </si>
  <si>
    <t>Liberia</t>
  </si>
  <si>
    <t>Libia</t>
  </si>
  <si>
    <t>Liechtenstein</t>
  </si>
  <si>
    <t>Lituania</t>
  </si>
  <si>
    <t>Luxemburgo</t>
  </si>
  <si>
    <t>Macao</t>
  </si>
  <si>
    <t>Macedonia (la ex República Yugoslava de)</t>
  </si>
  <si>
    <t>Madagascar</t>
  </si>
  <si>
    <t>Malawi</t>
  </si>
  <si>
    <t>Malasia</t>
  </si>
  <si>
    <t>Maldivas</t>
  </si>
  <si>
    <t>Malí</t>
  </si>
  <si>
    <t>Ucrania (territorios de Crimea, Donetsk, Kherson, Luhansk y Zaporizhzhia)</t>
  </si>
  <si>
    <t>Islas Marshall (el)</t>
  </si>
  <si>
    <t>Martinica</t>
  </si>
  <si>
    <t>Mauritania</t>
  </si>
  <si>
    <t>Mauricio</t>
  </si>
  <si>
    <t>Mayotte</t>
  </si>
  <si>
    <t>MEXICO</t>
  </si>
  <si>
    <t>Micronesia (Estados Federados de)</t>
  </si>
  <si>
    <t>Moldova (la República de)</t>
  </si>
  <si>
    <t>Mónaco</t>
  </si>
  <si>
    <t>Mongolia</t>
  </si>
  <si>
    <t>Montenegro</t>
  </si>
  <si>
    <t>Montserrat</t>
  </si>
  <si>
    <t>Marruecos</t>
  </si>
  <si>
    <t>Mozambique</t>
  </si>
  <si>
    <t>Myanmar</t>
  </si>
  <si>
    <t>Namibia</t>
  </si>
  <si>
    <t>Nauru</t>
  </si>
  <si>
    <t>Nepal</t>
  </si>
  <si>
    <t>Los Países Bajos (el)</t>
  </si>
  <si>
    <t>Nueva Caledonia</t>
  </si>
  <si>
    <t>Nueva Zelanda</t>
  </si>
  <si>
    <t>Nicaragua</t>
  </si>
  <si>
    <t>Níger (el)</t>
  </si>
  <si>
    <t>Nigeria</t>
  </si>
  <si>
    <t>Niue</t>
  </si>
  <si>
    <t>Isla de Norfolk</t>
  </si>
  <si>
    <t>Islas Marianas del Norte (las)</t>
  </si>
  <si>
    <t>Noruega</t>
  </si>
  <si>
    <t>Omán</t>
  </si>
  <si>
    <t>PAKISTAN</t>
  </si>
  <si>
    <t>Palaos</t>
  </si>
  <si>
    <t>Palestina, Estado de</t>
  </si>
  <si>
    <t>PANAMA</t>
  </si>
  <si>
    <t>Papúa Nueva Guinea</t>
  </si>
  <si>
    <t>PARAGUAY</t>
  </si>
  <si>
    <t>Filipinas (el)</t>
  </si>
  <si>
    <t>PN</t>
  </si>
  <si>
    <t>Pitcairn</t>
  </si>
  <si>
    <t>Polonia</t>
  </si>
  <si>
    <t>Portugal</t>
  </si>
  <si>
    <t>Puerto Rico</t>
  </si>
  <si>
    <t>Qatar</t>
  </si>
  <si>
    <t>Reunión</t>
  </si>
  <si>
    <t>Rumania</t>
  </si>
  <si>
    <t>Federación de Rusia (la)</t>
  </si>
  <si>
    <t>Ruanda</t>
  </si>
  <si>
    <t>San Bartolomé</t>
  </si>
  <si>
    <t>Santa Helena, Ascensión y Tristán da Cunha</t>
  </si>
  <si>
    <t>San Cristóbal y Nieves</t>
  </si>
  <si>
    <t>Santa Lucía</t>
  </si>
  <si>
    <t>San Martín (parte francesa)</t>
  </si>
  <si>
    <t>San Pedro y Miquelón</t>
  </si>
  <si>
    <t>San Vicente y las Granadinas</t>
  </si>
  <si>
    <t>Samoa</t>
  </si>
  <si>
    <t>San Marino</t>
  </si>
  <si>
    <t>Santo Tomé y Príncipe</t>
  </si>
  <si>
    <t>Arabia Saudita</t>
  </si>
  <si>
    <t>Senegal</t>
  </si>
  <si>
    <t>Serbia</t>
  </si>
  <si>
    <t>Seychelles</t>
  </si>
  <si>
    <t>Sierra Leona</t>
  </si>
  <si>
    <t>Singapur</t>
  </si>
  <si>
    <t>San Martín (parte holandesa)</t>
  </si>
  <si>
    <t>Eslovaquia</t>
  </si>
  <si>
    <t>Eslovenia</t>
  </si>
  <si>
    <t>Islas Salomón</t>
  </si>
  <si>
    <t>Somalia</t>
  </si>
  <si>
    <t>Sudáfrica</t>
  </si>
  <si>
    <t>Georgia del Sur y las Islas Sándwich del Sur</t>
  </si>
  <si>
    <t>Sudán del Sur</t>
  </si>
  <si>
    <t>ESPAÑA</t>
  </si>
  <si>
    <t>Sri Lanka</t>
  </si>
  <si>
    <t>Sudán (el)</t>
  </si>
  <si>
    <t>Surinam</t>
  </si>
  <si>
    <t>Svalbard y Jan Mayen</t>
  </si>
  <si>
    <t>Suazilandia / Eswatini</t>
  </si>
  <si>
    <t>Suecia</t>
  </si>
  <si>
    <t>Suiza</t>
  </si>
  <si>
    <t>República Árabe Siria</t>
  </si>
  <si>
    <t>Taiwán (Provincia de China)</t>
  </si>
  <si>
    <t>Tayikistán</t>
  </si>
  <si>
    <t>Tanzania, República Unida de</t>
  </si>
  <si>
    <t>Tailandia</t>
  </si>
  <si>
    <t>Timor-Leste</t>
  </si>
  <si>
    <t>Togo</t>
  </si>
  <si>
    <t>Tokelau</t>
  </si>
  <si>
    <t>Tonga</t>
  </si>
  <si>
    <t>Trinidad y Tobago</t>
  </si>
  <si>
    <t>Túnez</t>
  </si>
  <si>
    <t>TURKEY</t>
  </si>
  <si>
    <t>Turkmenistán</t>
  </si>
  <si>
    <t>Islas Turcas y Caicos (las)</t>
  </si>
  <si>
    <t>Tuvalu</t>
  </si>
  <si>
    <t>Uganda</t>
  </si>
  <si>
    <t>Ucrania (excepto los territorios de Crimea, Donetsk, Kherson, Luhansk y Zaporizhzhia-)</t>
  </si>
  <si>
    <t>Emiratos Árabes Unidos (los)</t>
  </si>
  <si>
    <t>UNITED KINGDOM</t>
  </si>
  <si>
    <t>Islas menores alejadas de los Estados Unidos (las)</t>
  </si>
  <si>
    <t>Estados Unidos de América (el)</t>
  </si>
  <si>
    <t>Uruguay</t>
  </si>
  <si>
    <t>Uzbekistán</t>
  </si>
  <si>
    <t>Vanuatu</t>
  </si>
  <si>
    <t>VENEZUELA</t>
  </si>
  <si>
    <t>Vietnam</t>
  </si>
  <si>
    <t>Islas Vírgenes (Británicas)</t>
  </si>
  <si>
    <t>Islas Vírgenes (EE.UU.)</t>
  </si>
  <si>
    <t>Wallis y Futuna</t>
  </si>
  <si>
    <t>El Sahara Occidental</t>
  </si>
  <si>
    <t>Yemen</t>
  </si>
  <si>
    <t>Zambia</t>
  </si>
  <si>
    <t>Zimbabue</t>
  </si>
  <si>
    <t>ALBORAN &amp; PEREJIL IS.</t>
  </si>
  <si>
    <t>GUADELOUPE &amp; DEPENDENCIES</t>
  </si>
  <si>
    <t>TIPO DE CANAL DE DISTRIBUCIÓN</t>
  </si>
  <si>
    <t>Canal de distribución</t>
  </si>
  <si>
    <t>RUC</t>
  </si>
  <si>
    <t>Ubicación</t>
  </si>
  <si>
    <t>Riesgo Ubicación</t>
  </si>
  <si>
    <t>Riesgo PEP</t>
  </si>
  <si>
    <t>Exp. Sanciones</t>
  </si>
  <si>
    <t>OC aprobado</t>
  </si>
  <si>
    <t>Sujeto Obligado</t>
  </si>
  <si>
    <t>Estado Sunat</t>
  </si>
  <si>
    <t>SUMA</t>
  </si>
  <si>
    <t>PROM</t>
  </si>
  <si>
    <t>PROM FINAL</t>
  </si>
  <si>
    <t>RIESGO FINAL</t>
  </si>
  <si>
    <t>Valor</t>
  </si>
  <si>
    <t>Puntuación</t>
  </si>
  <si>
    <t>Crierio</t>
  </si>
  <si>
    <t>Santander Consumo</t>
  </si>
  <si>
    <t>20550226589</t>
  </si>
  <si>
    <t>LIMA</t>
  </si>
  <si>
    <t>Low</t>
  </si>
  <si>
    <t>Activo</t>
  </si>
  <si>
    <t>Mass Automotriz S.A.</t>
  </si>
  <si>
    <t>20100951232</t>
  </si>
  <si>
    <t>High</t>
  </si>
  <si>
    <t>Baja de oficio</t>
  </si>
  <si>
    <t>Medium</t>
  </si>
  <si>
    <t>Autoland</t>
  </si>
  <si>
    <t>20347764664</t>
  </si>
  <si>
    <t>Exp. Snaciones</t>
  </si>
  <si>
    <t>Diveimport Sa</t>
  </si>
  <si>
    <t>20502797230</t>
  </si>
  <si>
    <t>Automotores Gildemeister Peru S.A.C.</t>
  </si>
  <si>
    <t>20506006024</t>
  </si>
  <si>
    <t>Limautos Automotriz Del Peru S.A.C</t>
  </si>
  <si>
    <t>20537942381</t>
  </si>
  <si>
    <t>Interamericana Trujillo</t>
  </si>
  <si>
    <t>20440376704</t>
  </si>
  <si>
    <t>LA LIBERTAD</t>
  </si>
  <si>
    <t>Derco Peru</t>
  </si>
  <si>
    <t>20344877158</t>
  </si>
  <si>
    <t>Astara Pert Retail</t>
  </si>
  <si>
    <t>20524207509</t>
  </si>
  <si>
    <t>Autofondo Sac</t>
  </si>
  <si>
    <t>20516062305</t>
  </si>
  <si>
    <t>Derco Center S.A</t>
  </si>
  <si>
    <t>20548527113</t>
  </si>
  <si>
    <t>Maquinaria Nacional Sa Peru</t>
  </si>
  <si>
    <t>20503258901</t>
  </si>
  <si>
    <t>Alese S.A.C.</t>
  </si>
  <si>
    <t>20297867718</t>
  </si>
  <si>
    <t>Divecenter S.A.C.</t>
  </si>
  <si>
    <t>20520588486</t>
  </si>
  <si>
    <t>Maquinarias Sa</t>
  </si>
  <si>
    <t>20160286068</t>
  </si>
  <si>
    <t>Motorsur</t>
  </si>
  <si>
    <t>20498107410</t>
  </si>
  <si>
    <t>AREQUIPA</t>
  </si>
  <si>
    <t>Baja definitiva</t>
  </si>
  <si>
    <t>Multimarkas Sac</t>
  </si>
  <si>
    <t>20401080920</t>
  </si>
  <si>
    <t>JUNIN</t>
  </si>
  <si>
    <t>Automotores Pakatnamu S.A.C.</t>
  </si>
  <si>
    <t>20538993400</t>
  </si>
  <si>
    <t>LAMBAYEQUE</t>
  </si>
  <si>
    <t>Sur Motors Sa</t>
  </si>
  <si>
    <t>20100216346</t>
  </si>
  <si>
    <t>Vision Y Vanguardia Sac</t>
  </si>
  <si>
    <t>20518332016</t>
  </si>
  <si>
    <t>Le Volant Sac</t>
  </si>
  <si>
    <t>20269721830</t>
  </si>
  <si>
    <t>Interamericana Norte Sac</t>
  </si>
  <si>
    <t>20483998270</t>
  </si>
  <si>
    <t>PIURA</t>
  </si>
  <si>
    <t>Limawagen S.A.C.</t>
  </si>
  <si>
    <t>20492402797</t>
  </si>
  <si>
    <t>Grupo Credivargas Sac</t>
  </si>
  <si>
    <t>20392489488</t>
  </si>
  <si>
    <t>Grupo Pana Sa</t>
  </si>
  <si>
    <t>20100144922</t>
  </si>
  <si>
    <t>Makine S.A.C.</t>
  </si>
  <si>
    <t>20550760658</t>
  </si>
  <si>
    <t>Framicar S.A.C</t>
  </si>
  <si>
    <t>20600336232</t>
  </si>
  <si>
    <t>ANCASH</t>
  </si>
  <si>
    <t>Inchcape Latam Peru S.A.</t>
  </si>
  <si>
    <t>20433469039</t>
  </si>
  <si>
    <t>B Motors S.A.C.</t>
  </si>
  <si>
    <t>20477683810</t>
  </si>
  <si>
    <t>Neo Motors S.A.C.</t>
  </si>
  <si>
    <t>20482557369</t>
  </si>
  <si>
    <t>Kia Import Peru Sac</t>
  </si>
  <si>
    <t>20472468147</t>
  </si>
  <si>
    <t>Autoniza Sac</t>
  </si>
  <si>
    <t>20601762219</t>
  </si>
  <si>
    <t>Autocar Del Peru Sa</t>
  </si>
  <si>
    <t>20515339508</t>
  </si>
  <si>
    <t>Euroshop Sa</t>
  </si>
  <si>
    <t>20349065488</t>
  </si>
  <si>
    <t>Masaki Sac</t>
  </si>
  <si>
    <t>20513447745</t>
  </si>
  <si>
    <t>Automotores &amp; Diversos Sac</t>
  </si>
  <si>
    <t>20484448222</t>
  </si>
  <si>
    <t>CUSCO</t>
  </si>
  <si>
    <t>Altos Andes Sac</t>
  </si>
  <si>
    <t>20296136728</t>
  </si>
  <si>
    <t>Servicios Automotrices Del Norte S.R.L.</t>
  </si>
  <si>
    <t>20491555140</t>
  </si>
  <si>
    <t>CAJAMARCA</t>
  </si>
  <si>
    <t>Motors Cisne Srl</t>
  </si>
  <si>
    <t>20600325150</t>
  </si>
  <si>
    <t>Inversiones Y Asesorias Mv S.A.C.</t>
  </si>
  <si>
    <t>20566151562</t>
  </si>
  <si>
    <t>Baja prov de oficio</t>
  </si>
  <si>
    <t>Maqbeta S.A.C</t>
  </si>
  <si>
    <t>20602796524</t>
  </si>
  <si>
    <t>Automotriz Incamotors Sac</t>
  </si>
  <si>
    <t>20455307954</t>
  </si>
  <si>
    <t>Autoespar Sa</t>
  </si>
  <si>
    <t>20100821371</t>
  </si>
  <si>
    <t>Gacsa Peru S.A.C.</t>
  </si>
  <si>
    <t>20602629067</t>
  </si>
  <si>
    <t>Automotriz Cisne Srl</t>
  </si>
  <si>
    <t>20454537743</t>
  </si>
  <si>
    <t>Maqgama S.A.C.</t>
  </si>
  <si>
    <t>20602780466</t>
  </si>
  <si>
    <t>Japan Autos Sa</t>
  </si>
  <si>
    <t>20250161221</t>
  </si>
  <si>
    <t>Almacenes Santa Clara S A</t>
  </si>
  <si>
    <t>20100176701</t>
  </si>
  <si>
    <t>Jm Automotriz S.A.C.</t>
  </si>
  <si>
    <t>20532312176</t>
  </si>
  <si>
    <t>TACNA</t>
  </si>
  <si>
    <t>Motorgas Import S.A.C.</t>
  </si>
  <si>
    <t>20494971993</t>
  </si>
  <si>
    <t>ICA</t>
  </si>
  <si>
    <t>Perumotor H.G. Srl</t>
  </si>
  <si>
    <t>20453919651</t>
  </si>
  <si>
    <t>1 One S.A.C.</t>
  </si>
  <si>
    <t>20520549740</t>
  </si>
  <si>
    <t>San Antonio Trade  S.A.C.</t>
  </si>
  <si>
    <t>20480230451</t>
  </si>
  <si>
    <t>Mc Autos Del Peru S.A</t>
  </si>
  <si>
    <t>20430500521</t>
  </si>
  <si>
    <t>Inversiones Mori Sac (Cedea)</t>
  </si>
  <si>
    <t>20507432256</t>
  </si>
  <si>
    <t>Automecanica San Miguel S.R.L</t>
  </si>
  <si>
    <t>20114136094</t>
  </si>
  <si>
    <t>Sociedad De Automotores Inka  Sac</t>
  </si>
  <si>
    <t>20480683839</t>
  </si>
  <si>
    <t>Mitsui Automotriz Sa</t>
  </si>
  <si>
    <t>20256211310</t>
  </si>
  <si>
    <t>E Rimassa S.A.C.</t>
  </si>
  <si>
    <t>20602650708</t>
  </si>
  <si>
    <t>Dongfeng Motor Peru S.A.C.</t>
  </si>
  <si>
    <t>20602451586</t>
  </si>
  <si>
    <t>CALLAO</t>
  </si>
  <si>
    <t>Autos Y Camiones Sac (Autocam)</t>
  </si>
  <si>
    <t>20506798371</t>
  </si>
  <si>
    <t>Washington Automotriz Eirl</t>
  </si>
  <si>
    <t>20496043783</t>
  </si>
  <si>
    <t>Summit Motors S.A.C.</t>
  </si>
  <si>
    <t>20604506078</t>
  </si>
  <si>
    <t>Concesionaria Nova Autos Sociedad Anonima</t>
  </si>
  <si>
    <t>20601818672</t>
  </si>
  <si>
    <t>Automotores Francia Pert S.A.C</t>
  </si>
  <si>
    <t>20477914307</t>
  </si>
  <si>
    <t>Cassa Concesionaria S.A.C.</t>
  </si>
  <si>
    <t>20549152920</t>
  </si>
  <si>
    <t>Klm Group S.A.C</t>
  </si>
  <si>
    <t>20568502443</t>
  </si>
  <si>
    <t>Autobacks Motors Sac</t>
  </si>
  <si>
    <t>20603862181</t>
  </si>
  <si>
    <t>Automotores Yoshival S.A.C</t>
  </si>
  <si>
    <t>20408104638</t>
  </si>
  <si>
    <t>Huanca Autos Sac</t>
  </si>
  <si>
    <t>20518680057</t>
  </si>
  <si>
    <t>Automotriz San Cristobal S.A.</t>
  </si>
  <si>
    <t>20538329542</t>
  </si>
  <si>
    <t>Jl Logistics Service S.A.C.</t>
  </si>
  <si>
    <t>20600609549</t>
  </si>
  <si>
    <t>Autoshop Peru Sac</t>
  </si>
  <si>
    <t>20482438602</t>
  </si>
  <si>
    <t>Sur Wagen S.A.C</t>
  </si>
  <si>
    <t>20532540551</t>
  </si>
  <si>
    <t>Leon Autos S.A.</t>
  </si>
  <si>
    <t>20601960762</t>
  </si>
  <si>
    <t>Sportwagen S.A.C</t>
  </si>
  <si>
    <t>20515513389</t>
  </si>
  <si>
    <t>Automotriz San Blas S.A.</t>
  </si>
  <si>
    <t>20120476816</t>
  </si>
  <si>
    <t>Maqalfa S.A.C.</t>
  </si>
  <si>
    <t>20600053273</t>
  </si>
  <si>
    <t>Maqseminuevos S.A.C.</t>
  </si>
  <si>
    <t>20602877087</t>
  </si>
  <si>
    <t>Motoline S.A.C.</t>
  </si>
  <si>
    <t>20552625511</t>
  </si>
  <si>
    <t>Automotriz Lavagna Sa</t>
  </si>
  <si>
    <t>20100775329</t>
  </si>
  <si>
    <t>Motor Mundo Sa</t>
  </si>
  <si>
    <t>20519033233</t>
  </si>
  <si>
    <t>Automotriz Latino Italiana S.A.C.</t>
  </si>
  <si>
    <t>20602592899</t>
  </si>
  <si>
    <t>Normotor S.A.C</t>
  </si>
  <si>
    <t>20445412890</t>
  </si>
  <si>
    <t>Auto Summit Peru Sac</t>
  </si>
  <si>
    <t>20537212145</t>
  </si>
  <si>
    <t>Inchcape Motors Peru Sa</t>
  </si>
  <si>
    <t>20380130336</t>
  </si>
  <si>
    <t>Automotriz Huacho Vip S.A.C.</t>
  </si>
  <si>
    <t>20600562887</t>
  </si>
  <si>
    <t>South Pacific Motor Peru Sac</t>
  </si>
  <si>
    <t>20477957375</t>
  </si>
  <si>
    <t>Autrisa Automotriz Andina S.A.</t>
  </si>
  <si>
    <t>20100202396</t>
  </si>
  <si>
    <t>Representaciones E Inversiones P &amp; B S.A.C</t>
  </si>
  <si>
    <t>20452814936</t>
  </si>
  <si>
    <t>Gm Conversiones Sociedad Anonima Cerrada</t>
  </si>
  <si>
    <t>20548699917</t>
  </si>
  <si>
    <t>Inka Lider Automotriz Sociedad Anonima Cerrada</t>
  </si>
  <si>
    <t>20604019461</t>
  </si>
  <si>
    <t>Autonort Trujillo S.A.</t>
  </si>
  <si>
    <t>20396419093</t>
  </si>
  <si>
    <t>Fast Lane Sa</t>
  </si>
  <si>
    <t>20427593259</t>
  </si>
  <si>
    <t>Autocentro Cajamarca S.R.L</t>
  </si>
  <si>
    <t>20453704611</t>
  </si>
  <si>
    <t>Asistencia Y Mecanica Automotriz S.R.L</t>
  </si>
  <si>
    <t>20445481514</t>
  </si>
  <si>
    <t>Revo Motors S.A.</t>
  </si>
  <si>
    <t>20600137272</t>
  </si>
  <si>
    <t>Premier Motors S.A.</t>
  </si>
  <si>
    <t>20510286783</t>
  </si>
  <si>
    <t>Diamante Del Pacifico Sa</t>
  </si>
  <si>
    <t>20384734503</t>
  </si>
  <si>
    <t>Estacion De Servicios Santa Cecilia S A</t>
  </si>
  <si>
    <t>20219539119</t>
  </si>
  <si>
    <t>1222 Peru S.A.C.</t>
  </si>
  <si>
    <t>20606257261</t>
  </si>
  <si>
    <t>Reparaciones Y Servicios Del Sur S.A.C.</t>
  </si>
  <si>
    <t>20100202124</t>
  </si>
  <si>
    <t>Comercializadora Del Norte S.R.L.</t>
  </si>
  <si>
    <t>20530725856</t>
  </si>
  <si>
    <t>San Antonio Retail S.A.C</t>
  </si>
  <si>
    <t>20480191537</t>
  </si>
  <si>
    <t>Wankamotors S.A.C</t>
  </si>
  <si>
    <t>20536196901</t>
  </si>
  <si>
    <t>Maqdelta Sac</t>
  </si>
  <si>
    <t>20606691883</t>
  </si>
  <si>
    <t>Automotriz Y Maquinarias Motor Mass Sac</t>
  </si>
  <si>
    <t>20448334849</t>
  </si>
  <si>
    <t>PUNO</t>
  </si>
  <si>
    <t>Pana Autos S.A.C.</t>
  </si>
  <si>
    <t>20536429183</t>
  </si>
  <si>
    <t>Autotaxi Satelital Sac</t>
  </si>
  <si>
    <t>20522172023</t>
  </si>
  <si>
    <t>Savi Motors S.A.C.</t>
  </si>
  <si>
    <t>20601990564</t>
  </si>
  <si>
    <t>Gaman Autos S.A.C.</t>
  </si>
  <si>
    <t>20607086185</t>
  </si>
  <si>
    <t>Olx Clasificados Peru Sociedad Anonima</t>
  </si>
  <si>
    <t>20602252672</t>
  </si>
  <si>
    <t>Nor Autos Piura S.A.C</t>
  </si>
  <si>
    <t>20226804553</t>
  </si>
  <si>
    <t>Autostore Del Peru S.A.C</t>
  </si>
  <si>
    <t>20603559984</t>
  </si>
  <si>
    <t>San Bartolome S.A.</t>
  </si>
  <si>
    <t>20125327509</t>
  </si>
  <si>
    <t>Delta Fast Sac</t>
  </si>
  <si>
    <t>20606836679</t>
  </si>
  <si>
    <t>Maqsigma</t>
  </si>
  <si>
    <t>20606692588</t>
  </si>
  <si>
    <t>Autored Sociedad Anonima Cerrada-Autored S.A.C.</t>
  </si>
  <si>
    <t>20562633228</t>
  </si>
  <si>
    <t>Centro Automotriz Multimarca Del Peru Sac</t>
  </si>
  <si>
    <t>20533960627</t>
  </si>
  <si>
    <t>Andes Motor Peru S.A.C.</t>
  </si>
  <si>
    <t>20556038806</t>
  </si>
  <si>
    <t>Yamaha Motor Del Peru S.A.</t>
  </si>
  <si>
    <t>20383929050</t>
  </si>
  <si>
    <t>Iwagen S.A.C.</t>
  </si>
  <si>
    <t>20537393859</t>
  </si>
  <si>
    <t>Promotora Génesis S.A.C.</t>
  </si>
  <si>
    <t>20294560204</t>
  </si>
  <si>
    <t>Alese Peru S.A.C.</t>
  </si>
  <si>
    <t>20562733362</t>
  </si>
  <si>
    <t>Corporacion Automotriz Del Sur</t>
  </si>
  <si>
    <t>20443108131</t>
  </si>
  <si>
    <t>Nor Autos Chiclayo Sac</t>
  </si>
  <si>
    <t>20211377748</t>
  </si>
  <si>
    <t>Msa Automotriz S.A.C</t>
  </si>
  <si>
    <t>20491781409</t>
  </si>
  <si>
    <t>Automotores De La Amazonia S.A.C.</t>
  </si>
  <si>
    <t>20602648991</t>
  </si>
  <si>
    <t>UCAYALI</t>
  </si>
  <si>
    <t>Automotores Cisne S.R.L.</t>
  </si>
  <si>
    <t>20100188032</t>
  </si>
  <si>
    <t>Euro Camiones S.A.</t>
  </si>
  <si>
    <t>20550808791</t>
  </si>
  <si>
    <t>Camiones Chinos Peru S.A.C.</t>
  </si>
  <si>
    <t>20604689032</t>
  </si>
  <si>
    <t>Motors Show Tarapoto S.A.C.</t>
  </si>
  <si>
    <t>20450435920</t>
  </si>
  <si>
    <t>SAN MARTIN</t>
  </si>
  <si>
    <t>Autocamiones Del Centro S.A.C</t>
  </si>
  <si>
    <t>20601471800</t>
  </si>
  <si>
    <t>Gaz Autos Latinoamerica S.A.C.</t>
  </si>
  <si>
    <t>20602632211</t>
  </si>
  <si>
    <t>Carpio Sac</t>
  </si>
  <si>
    <t>20103327378</t>
  </si>
  <si>
    <t>Mannucci Diesel Sac</t>
  </si>
  <si>
    <t>20397561454</t>
  </si>
  <si>
    <t>J.C.Ugarte Import S.A.C.</t>
  </si>
  <si>
    <t>20431297249</t>
  </si>
  <si>
    <t>Salcedo Vehiculos S.A.C</t>
  </si>
  <si>
    <t>20609043009</t>
  </si>
  <si>
    <t>Motores Auto Plaza S.A.C.</t>
  </si>
  <si>
    <t>20606129999</t>
  </si>
  <si>
    <t>Autocentro Tarapoto Srl</t>
  </si>
  <si>
    <t>20450475042</t>
  </si>
  <si>
    <t>Uvi Tech Peru Sac</t>
  </si>
  <si>
    <t>20608334701</t>
  </si>
  <si>
    <t>Plaza Motors S.A.C.</t>
  </si>
  <si>
    <t>20517324486</t>
  </si>
  <si>
    <t>Autoniza Peru S.A.C.</t>
  </si>
  <si>
    <t>20610785116</t>
  </si>
  <si>
    <t>Gnecco Y Compañia Sac</t>
  </si>
  <si>
    <t>20119205868</t>
  </si>
  <si>
    <t>Tradecars Peru S.A.C.</t>
  </si>
  <si>
    <t>20610134280</t>
  </si>
  <si>
    <t>Autofacil Motors Ci Sac</t>
  </si>
  <si>
    <t>20605848002</t>
  </si>
  <si>
    <t>Nordell Limited S.A.C.</t>
  </si>
  <si>
    <t>20609361833</t>
  </si>
  <si>
    <t>Jemmas S.A.C.</t>
  </si>
  <si>
    <t>20454810695</t>
  </si>
  <si>
    <t>Andes Motors S.A.C.</t>
  </si>
  <si>
    <t>20450702120</t>
  </si>
  <si>
    <t>Ambacar Sac</t>
  </si>
  <si>
    <t>20601055415</t>
  </si>
  <si>
    <t>Autonort Nor Oriente Sac</t>
  </si>
  <si>
    <t>20450384322</t>
  </si>
  <si>
    <t>The Best In Cars Sac</t>
  </si>
  <si>
    <t>20605801596</t>
  </si>
  <si>
    <t>Grupo De Negocios Corea Peru S.A.C.</t>
  </si>
  <si>
    <t>20604507325</t>
  </si>
  <si>
    <t>Auto Oriente S.A.C.</t>
  </si>
  <si>
    <t>20606084197</t>
  </si>
  <si>
    <t>Maxiauto S.A.C.</t>
  </si>
  <si>
    <t>20611197099</t>
  </si>
  <si>
    <t>Corporacion De Empresas Automotrices S.A.C</t>
  </si>
  <si>
    <t>20601356024</t>
  </si>
  <si>
    <t>Autoventas Gran Prix S.R.L.</t>
  </si>
  <si>
    <t>20393579413</t>
  </si>
  <si>
    <t>Autonort Cajamarca S.A.C.</t>
  </si>
  <si>
    <t>20495635822</t>
  </si>
  <si>
    <t>Tsutomu Autos S.A.C</t>
  </si>
  <si>
    <t>20602377050</t>
  </si>
  <si>
    <t>Amg Motors S.A.C.</t>
  </si>
  <si>
    <t>20606231181</t>
  </si>
  <si>
    <t>Auto Al Dia S.A.C</t>
  </si>
  <si>
    <t>20382904878</t>
  </si>
  <si>
    <t>Lv Autos &amp; Servicios Sac</t>
  </si>
  <si>
    <t>20601827078</t>
  </si>
  <si>
    <t>Mannucci Motors S.A.C.</t>
  </si>
  <si>
    <t>20604767548</t>
  </si>
  <si>
    <t>Autos Del Sur Sac</t>
  </si>
  <si>
    <t>20454054271</t>
  </si>
  <si>
    <t>Corsa Automotriz Sac</t>
  </si>
  <si>
    <t>20447710715</t>
  </si>
  <si>
    <t>Grupo Peramas S.A.C.</t>
  </si>
  <si>
    <t>20612662071</t>
  </si>
  <si>
    <t>Suspensión temporal</t>
  </si>
  <si>
    <t>Aventura Motors E.I.R.L.</t>
  </si>
  <si>
    <t>20533152831</t>
  </si>
  <si>
    <t>Tracto Camiones Usa S.A.C</t>
  </si>
  <si>
    <t>20293774308</t>
  </si>
  <si>
    <t>Selva Car Motors S.A.C</t>
  </si>
  <si>
    <t>20612540242</t>
  </si>
  <si>
    <t>Overseas Motors Peru S.A.C.</t>
  </si>
  <si>
    <t>20609788187</t>
  </si>
  <si>
    <t>Automotriz Cristo Blanco S.A.C.</t>
  </si>
  <si>
    <t>20490889575</t>
  </si>
  <si>
    <t>Hs Talleres Srl</t>
  </si>
  <si>
    <t>20527457727</t>
  </si>
  <si>
    <t>International Camiones Del Peru Sa</t>
  </si>
  <si>
    <t>20600045521</t>
  </si>
  <si>
    <t>Empresa Beneficiaria Deltaxista E.I.R.L.</t>
  </si>
  <si>
    <t>20543669572</t>
  </si>
  <si>
    <t>Carpio Automotriz S.A.C.</t>
  </si>
  <si>
    <t>20612241792</t>
  </si>
  <si>
    <t>Euro Motors Sa</t>
  </si>
  <si>
    <t>20168544252</t>
  </si>
  <si>
    <t>Z Autos Sociedad Anonima Cerrada</t>
  </si>
  <si>
    <t>20565916727</t>
  </si>
  <si>
    <t>Import Export Medina E.I.R.L</t>
  </si>
  <si>
    <t>20510400667</t>
  </si>
  <si>
    <t>Motorysa Peru Sac</t>
  </si>
  <si>
    <t>20611815337</t>
  </si>
  <si>
    <t>Tracusa E.I.R.L.</t>
  </si>
  <si>
    <t>20548366942</t>
  </si>
  <si>
    <t>Auto Sport Motor Sac</t>
  </si>
  <si>
    <t>Move Technologies S.A.C.</t>
  </si>
  <si>
    <t>Faga Motors Sa</t>
  </si>
  <si>
    <t>Zual Cars Sac</t>
  </si>
  <si>
    <t>Koopa S.A.C.</t>
  </si>
  <si>
    <t>Ccat Peru S.A.C.</t>
  </si>
  <si>
    <t>E.B. Automotive E.I.R.L.</t>
  </si>
  <si>
    <t>Velper Inversiones S.A.C.</t>
  </si>
  <si>
    <t>Iaautos S.A.C.</t>
  </si>
  <si>
    <t>Concesionarios Autorizados Sac</t>
  </si>
  <si>
    <t>Aion S.A.C.</t>
  </si>
  <si>
    <t>Kiwami Automotriz</t>
  </si>
  <si>
    <t>Inchcape Automotriz Peru Sa</t>
  </si>
  <si>
    <t>Pangu Peru New Energy Vehicle Sales S.A.C.</t>
  </si>
  <si>
    <t>Zual Autos S.A.C.</t>
  </si>
  <si>
    <t>Automotores Santa Clara S.A.C.</t>
  </si>
  <si>
    <t>Iconic Cars Peru S.A.C.</t>
  </si>
  <si>
    <t>Dw Motors S.A.C.</t>
  </si>
  <si>
    <t>1ra Categoría</t>
  </si>
  <si>
    <t>0111</t>
  </si>
  <si>
    <t>CULTIVO DE ARROZ</t>
  </si>
  <si>
    <t>0112</t>
  </si>
  <si>
    <t>CULTIVO DE HORTALIZAS Y MELONES, RAÍCES Y TUBÉRCULOS.</t>
  </si>
  <si>
    <t>0113</t>
  </si>
  <si>
    <t>CULTIVO DE CAÑA DE AZÚCAR</t>
  </si>
  <si>
    <t>0114</t>
  </si>
  <si>
    <t>CULTIVO DE TABACO</t>
  </si>
  <si>
    <t>0115</t>
  </si>
  <si>
    <t>CULTIVO DE PLANTAS DE FIBRA</t>
  </si>
  <si>
    <t>0116</t>
  </si>
  <si>
    <t>CULTIVO DE OTRAS PLANTAS NO PERENNES</t>
  </si>
  <si>
    <t>0119</t>
  </si>
  <si>
    <t>CULTIVO DE UVA</t>
  </si>
  <si>
    <t>0121</t>
  </si>
  <si>
    <t>CULTIVO DE FRUTAS TROPICALES Y SUBTROPICALES</t>
  </si>
  <si>
    <t>0122</t>
  </si>
  <si>
    <t>0123</t>
  </si>
  <si>
    <t>CULTIVO DE FRUTAS DE PEPITA Y DE HUESO</t>
  </si>
  <si>
    <t>0124</t>
  </si>
  <si>
    <t>CULTIVO DE OTROS FRUTOS Y NUECES DE ÁRBOLES Y ARBUSTOS</t>
  </si>
  <si>
    <t>0125</t>
  </si>
  <si>
    <t>CULTIVO DE FRUTOS OLEAGINOSOS</t>
  </si>
  <si>
    <t>0126</t>
  </si>
  <si>
    <t>CULTIVO DE PLANTAS CON LAS QUE SE PREPARAN BEBIDAS</t>
  </si>
  <si>
    <t>0127</t>
  </si>
  <si>
    <t>CULTIVO DE ESPECIAS Y DE PLANTAS AROMÁTICAS, MEDICINALES Y FARMACEUTICAS</t>
  </si>
  <si>
    <t>0128</t>
  </si>
  <si>
    <t>PROPAGACIÓN DE PLANTAS</t>
  </si>
  <si>
    <t>0130</t>
  </si>
  <si>
    <t>CRÍA DE GANADO BOVINO Y BÚFALOS</t>
  </si>
  <si>
    <t>0141</t>
  </si>
  <si>
    <t>CRÍA DE CABALLOS Y OTROS EQUINOS</t>
  </si>
  <si>
    <t>0142</t>
  </si>
  <si>
    <t>CRÍA DE CAMELLOS Y OTROS CAMÉLIDOS</t>
  </si>
  <si>
    <t>0143</t>
  </si>
  <si>
    <t>CRÍA DE OVEJAS Y CABRAS</t>
  </si>
  <si>
    <t>0144</t>
  </si>
  <si>
    <t>CRÍA DE CERDOS</t>
  </si>
  <si>
    <t>0145</t>
  </si>
  <si>
    <t>CRÍA DE AVES DE CORRAL</t>
  </si>
  <si>
    <t>0146</t>
  </si>
  <si>
    <t>CRÍA DE OTROS ANIMALES</t>
  </si>
  <si>
    <t>0149</t>
  </si>
  <si>
    <t>CULTIVO DE PRODUCTOS AGRÌCOLAS EN COMBINACIÒN CON LA CRÌA DE ANIMALES</t>
  </si>
  <si>
    <t>0150</t>
  </si>
  <si>
    <t>ACTIVIDADES DE APOYO A LA AGRICULTURA</t>
  </si>
  <si>
    <t>0161</t>
  </si>
  <si>
    <t>ACTIVIDADES DE APOYO A LA GANADERÍA</t>
  </si>
  <si>
    <t>0162</t>
  </si>
  <si>
    <t>ACTIVIDADES POSCOSECHA</t>
  </si>
  <si>
    <t>0163</t>
  </si>
  <si>
    <t>TRATAMIENTO DE SEMILLAS PARA PROPAGACIÓN</t>
  </si>
  <si>
    <t>0164</t>
  </si>
  <si>
    <t>CAZA ORDINARIA Y MEDIANTE TRAMPAS Y ACTIVIDADES DE SERVICIOS CONEXAS</t>
  </si>
  <si>
    <t>0170</t>
  </si>
  <si>
    <t>AutoHigh</t>
  </si>
  <si>
    <t>SILVICULTURA Y OTRAS ACTIVIDADES FORESTALES</t>
  </si>
  <si>
    <t>0210</t>
  </si>
  <si>
    <t>EXTRACCIÓN DE MADERA</t>
  </si>
  <si>
    <t>0220</t>
  </si>
  <si>
    <t>RECOLECCIÓN DE PRODUCTOS FORESTALES DISTINTOS DE LA MADERA</t>
  </si>
  <si>
    <t>0230</t>
  </si>
  <si>
    <t>SERVICIOS DE APOYO A LA SILVICULTURA</t>
  </si>
  <si>
    <t>0240</t>
  </si>
  <si>
    <t>PESCA MARÍTIMA</t>
  </si>
  <si>
    <t>0311</t>
  </si>
  <si>
    <t>PESCA DE AGUA DULCE</t>
  </si>
  <si>
    <t>0312</t>
  </si>
  <si>
    <t>ACUICULTURA MARÍTIMA</t>
  </si>
  <si>
    <t>0321</t>
  </si>
  <si>
    <t>ACUICULTURA DE AGUA DULCE</t>
  </si>
  <si>
    <t>0322</t>
  </si>
  <si>
    <t>EXTRACCIÓN DE CARBÓN DE PIEDRA</t>
  </si>
  <si>
    <t>0510</t>
  </si>
  <si>
    <t>EXTRACCIÓN DE LIGNITO</t>
  </si>
  <si>
    <t>0520</t>
  </si>
  <si>
    <t>EXTRACCIÓN DE PETRÓLEO CRUDO</t>
  </si>
  <si>
    <t>0610</t>
  </si>
  <si>
    <t>EXTRACCIÓN DE GAS NATURAL</t>
  </si>
  <si>
    <t>0620</t>
  </si>
  <si>
    <t>EXTRACCIÓN DE MINERALES DE HIERRO</t>
  </si>
  <si>
    <t>0710</t>
  </si>
  <si>
    <t>EXTRACCIÓN DE MINERALES DE URANIO Y TORIO</t>
  </si>
  <si>
    <t>0721</t>
  </si>
  <si>
    <t>EXTRACCIÓN DE OTROS MINERALES METALÍFEROS NO FERROSOS</t>
  </si>
  <si>
    <t>0729</t>
  </si>
  <si>
    <t>EXTRACCIÓN DE PIEDRA, ARENA Y ARCILLA</t>
  </si>
  <si>
    <t>0810</t>
  </si>
  <si>
    <t>EXTRACCIÓN DE MINERALES PARA LA FABRICACIÓN DE ABONOS Y PRODUCTOS QUÍMICOS</t>
  </si>
  <si>
    <t>0891</t>
  </si>
  <si>
    <t>EXTRACCIÓN DE TURBA</t>
  </si>
  <si>
    <t>0892</t>
  </si>
  <si>
    <t>EXTRACCIÓN DE SAL</t>
  </si>
  <si>
    <t>0893</t>
  </si>
  <si>
    <t>EXPLOTACIÓN DE OTRAS MINAS Y CANTERAS N.C.P.</t>
  </si>
  <si>
    <t>0899</t>
  </si>
  <si>
    <t>ACTIVIDADES DE APOYO PARA LA EXTRACCIÓN DE PETRÓLEO Y GAS NATURAL</t>
  </si>
  <si>
    <t>0910</t>
  </si>
  <si>
    <t>ACTIVIDADES DE APOYO PARA OTRAS ACTIVIDADES DE EXPLOTACIÓN DE MINAS Y CANTERAS</t>
  </si>
  <si>
    <t>0990</t>
  </si>
  <si>
    <t>ELABORACIÒN Y CONSERVACIÓN DE CARNE</t>
  </si>
  <si>
    <t>ELABORACIÒN Y CONSERVACIÓN DE PESCADOS, CRUSTÁCEOS Y MOLUSCOS</t>
  </si>
  <si>
    <t>ELABORACIÓN DE ACEITES Y GRASAS DE ORIGEN VEGETAL Y ANIMAL</t>
  </si>
  <si>
    <t>ELABORACIÓN DE PRODUCTOS LÁCTEOS</t>
  </si>
  <si>
    <t>ELABORACIÓN DE ALMIDONES Y PRODUCTOS DERIVADOS DEL ALMIDÓN.</t>
  </si>
  <si>
    <t>ELABORACIÓN DE PRODUCTOS DE PANADERÍA</t>
  </si>
  <si>
    <t>ELABORACIÓN DE AZÚCAR</t>
  </si>
  <si>
    <t>ELABORACIÓN DE CACAO Y CHOCOLATE Y DE PRODUCTOS DE CONFITERÍA</t>
  </si>
  <si>
    <t>ELABORACIÓN DE MACARRONES, FIDEOS, ALCUZCUS Y PRODUCTOS FARINÁCEOS SIMILARES</t>
  </si>
  <si>
    <t>ELABORACIÓN DE COMIDAS Y PLATOS PREPARADOS</t>
  </si>
  <si>
    <t>ELABORACIÓN DE OTROS PRODUCTOS ALIMENTICIOS N.C.P.</t>
  </si>
  <si>
    <t>ELABORACIÓN DE PIENSOS PREPARADOS PARA ANIMALES</t>
  </si>
  <si>
    <t>DESTILACIÓN, RECTIFICACIÓN Y MEZCLA DE BEBIDAS ALCOHÓLICAS</t>
  </si>
  <si>
    <t>ELABORACIÓN DE VINOS</t>
  </si>
  <si>
    <t>ELABORACIÓN DE BEBIDAS MALTEADAS Y DE MALTA</t>
  </si>
  <si>
    <t>ELABORACIÓN DE BEBIDAS NO ALCOHÓLICAS; PRODUCCIÓN DE AGUAS MINERALES Y OTRAS AGUAS EMBOTELLADAS</t>
  </si>
  <si>
    <t>ELABORACIÓN DE PRODUCTOS DE TABACO</t>
  </si>
  <si>
    <t>PREPARACIÓN E HILATURA DE FIBRAS TEXTILES</t>
  </si>
  <si>
    <t>TEJEDURA DE PRODUCTOS TEXTILES</t>
  </si>
  <si>
    <t>ACABADO DE PRODUCTOS TEXTILES</t>
  </si>
  <si>
    <t>FABRICACIÓN DE TEJIDOS DE PUNTO Y GANCHILLO</t>
  </si>
  <si>
    <t>FABRICACIÓN DE ARTÍCULOS CONFECCIONADOS DE MATERIALES TEXTILES, EXCEPTO PRENDAS DE VESTIR</t>
  </si>
  <si>
    <t>FABRICACIÓN DE TAPICES Y ALFOMBRAS</t>
  </si>
  <si>
    <t>FABRICACIÓN DE CUERDAS, CORDELES, BRAMANTES Y REDES</t>
  </si>
  <si>
    <t>FABRICACIÓN DE OTROS PRODUCTOS TEXTILES N.C.P.</t>
  </si>
  <si>
    <t>FABRICACIÓN DE PRENDAS DE VESTIR, EXCEPTO PRENDAS DE PIEL</t>
  </si>
  <si>
    <t>FABRICACIÓN DE ARTÍCULOS DE PIEL</t>
  </si>
  <si>
    <t>FABRICACIÓN DE ARTICULOS DE PUNTO Y GANCHILLO</t>
  </si>
  <si>
    <t>CURTIDO Y ADOBO DE CUEROS; ADOBO Y TEÑIDO DE PIELES</t>
  </si>
  <si>
    <t>FABRICACIÓN DE CALZADO</t>
  </si>
  <si>
    <t>ASERRADOS Y ACEPILLADURA DE MADERA</t>
  </si>
  <si>
    <t>FABRICACIÓN DE HOJAS DE MADERA PARA ENCHAPADO Y TABLEROS A BASE DE MADERA</t>
  </si>
  <si>
    <t>FABRICACIÓN DE PARTES Y PIEZAS DE CARPINTERÍA PARA EDIFICIOS Y CONSTRUCCIONES</t>
  </si>
  <si>
    <t>FABRICACIÓN DE RECIPIENTES DE MADERA</t>
  </si>
  <si>
    <t>FABRICACIÓN DE PASTA DE MADERA, PAPEL Y CARTÓN</t>
  </si>
  <si>
    <t>FABRICACIÓN DEL PAPEL Y CARTÓN ONDULADO Y DE ENVASES DE PAPEL Y CARTÓN</t>
  </si>
  <si>
    <t>FABRICACIÓN DE OTROS ARTÍCULOS DEL PAPEL Y CARTÓN</t>
  </si>
  <si>
    <t>IMPRESIÓN</t>
  </si>
  <si>
    <t>ACTIVIDADES DE SERVICIOS RELACIONADAS CON LA IMPRESIÓN</t>
  </si>
  <si>
    <t>REPRODUCCIÓN DE GRABACIONES</t>
  </si>
  <si>
    <t>FABRICACIÓN DE PRODUCTOS DE HORNOS DE COQUE</t>
  </si>
  <si>
    <t>FABRICACIÓN DE PRODUCTOS DE LA REFINACIÓN DEL PETRÓLEO</t>
  </si>
  <si>
    <t>FABRICACIÓN DE SUSTANCIAS QUÍMICAS BÁSICAS</t>
  </si>
  <si>
    <t>FABRICACIÓN ABONOS Y COMPUESTOS DE NITRÓGENO</t>
  </si>
  <si>
    <t>FABRICACIÓN DE PLÁSTICOS Y DE CAUCHO SINTÉTICO EN FORMAS PRIMARIAS</t>
  </si>
  <si>
    <t>FABRICACIÓN DE PLAGUICIDAS Y OTROS PRODUCTOS QUÍMICOS DE USO AGROPECUARIO</t>
  </si>
  <si>
    <t>FABRICACIÓN DE OTROS PRODUCTOS QUÍMICOS N.C.P.</t>
  </si>
  <si>
    <t>FABRICACIÓN DE FIBRAS ARTIFICIALES</t>
  </si>
  <si>
    <t>FABRICACIÓN DE CUBIERTAS Y CÁMARAS DE CAUCHO; RECAUCHUTADO Y RENOVACIÓN DE CUBIERTAS DE CAUCHO</t>
  </si>
  <si>
    <t>FABRICACIÓN DE OTROS PRODUCTOS DE CAUCHO</t>
  </si>
  <si>
    <t>FABRICACIÓN DE PRODUCTOS DE PLÁSTICO</t>
  </si>
  <si>
    <t>FABRICACIÓN DE VIDRIO Y DE PRODUCTOS DE VIDRIO</t>
  </si>
  <si>
    <t>FABRICACIÓN DE PRODUCTOS REFRACTARIOS</t>
  </si>
  <si>
    <t>FABRICACIÓN DE MATERIALES DE CONSTRUCCIÓN DE ARCILLA</t>
  </si>
  <si>
    <t>FABRICACIÓN DE OTROS PRODUCTOS DE PORCELANA Y DE CERÁMICA</t>
  </si>
  <si>
    <t>FABRICACIÓN DE CEMENTO, CAL Y YESO</t>
  </si>
  <si>
    <t>FABRICACIÓN DE ARTÍCULOS DE HORMIGÓN, DE CEMENTO Y DE YESO</t>
  </si>
  <si>
    <t>CORTE, TALLA Y ACABADO DE LA PIEDRA</t>
  </si>
  <si>
    <t>FABRICACIÓN DE OTROS PRODUCTOS MINERALES NO METÁLICOS N.C.P.</t>
  </si>
  <si>
    <t>INDUSTRIAS BÁSICAS DE HIERRO Y ACERO</t>
  </si>
  <si>
    <t>FABRICACIÓN DE PRODUCTOS PRIMARIOS DE METALES PRECIOSOS Y OTROS METALES NO FERROSOS</t>
  </si>
  <si>
    <t>FUNDICIÓN DE HIERRO Y ACERO</t>
  </si>
  <si>
    <t>FUNDICIÓN DE METALES NO FERROSOS</t>
  </si>
  <si>
    <t>FABRICACIÓN DE PRODUCTOS METÁLICOS PARA USO ESTRUCTURAL</t>
  </si>
  <si>
    <t>FABRICACIÓN DE TANQUES, DEPÓSITOS Y RECIPIENTES DE METAL</t>
  </si>
  <si>
    <t>FABRICACIÓN DE LOS GENERADORES DEL VAPOR, EXCEPTO CALDERAS DE AGUA CALIENTE PARA CALEFACCIÓN CENTRAL</t>
  </si>
  <si>
    <t>FABRICACIÓN DE ARMAS Y MUNICIONES</t>
  </si>
  <si>
    <t>FORJA, PRENSADO, ESTAMPADO Y LAMINADO DE METALES; PULVIMETALURGIA</t>
  </si>
  <si>
    <t>TRATAMIENTO Y REVESTIMIENTO DE METALES; MAQUINADO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</si>
  <si>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</si>
  <si>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</si>
  <si>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</si>
  <si>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ORDENADORES Y EQUIPO PERIFÉRICO</t>
  </si>
  <si>
    <t>FABRICACIÓN DE EQUIPOS DE COMUNICACIONES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</si>
  <si>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</si>
  <si>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</si>
  <si>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</si>
  <si>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</si>
  <si>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</si>
  <si>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SOPORTES MAGNÉTICOS Y ÓPTICOS</t>
  </si>
  <si>
    <t>FABRICACIÓN DE PILAS, BATERÍAS Y ACUMULADORES</t>
  </si>
  <si>
    <t>FABRICACIÓN DE CABLES DE FIBRA ÓPTICA</t>
  </si>
  <si>
    <t>FABRICACIÓN DE OTROS HILOS Y CABLES ELÉCTRICOS</t>
  </si>
  <si>
    <t>FABRICACIÓN DE DISPOSITIVOS DE CABLEADO</t>
  </si>
  <si>
    <t>FABRICACIÓN DE EQUIPO ELÉCTRICO DE ILUMINACIÓN</t>
  </si>
  <si>
    <t>FABRICACIÓN DE APARATOS DE USO DOMÉSTICO</t>
  </si>
  <si>
    <t>FABRICACIÓN DE OTROS TIPOS DE EQUIPO ELÉCTRICO</t>
  </si>
  <si>
    <t>FABRICACIÓN DE EQUIPO DE PROPULSIÓN DE FLUIDOS</t>
  </si>
  <si>
    <t>FABRICACIÓN DE BOMBAS, COMPRESORES, GRIFOS Y VÁLVULAS</t>
  </si>
  <si>
    <t>FABRICACIÓN DE COJINETES, ENGRANAJES, TRENES DE ENGRANAJES Y PIEZAS DE TRANSMISIÓN</t>
  </si>
  <si>
    <t>FABRICACIÓN DE HORNOS, HOGARES Y QUEMADORES</t>
  </si>
  <si>
    <t>FABRICACIÓN DE EQUIPO DE ELEVACIÓN Y MANIPULACIÓN</t>
  </si>
  <si>
    <t>FABRICACIÓN DE MAQUINARIA Y EQUIPO DE OFICINA (EXCEPTO ORDENADORES Y EQUIPO PERIFÉRICO)</t>
  </si>
  <si>
    <t>FABRICACIÓN DE HERRAMIENTAS DE MANO MOTORIZADAS</t>
  </si>
  <si>
    <t>FABRICACIÓN DE OTROS TIPOS DE MAQUINARIA DE USO GENERAL</t>
  </si>
  <si>
    <t>FABRICACIÓN DE MAQUINARIA AGROPECUARIA Y FORESTAL</t>
  </si>
  <si>
    <t>FABRICACIÓN DE MAQUINARIA PARA LA CONFORMACIÓN DE METALES Y DE MÁQUINAS HERRAMIENTA</t>
  </si>
  <si>
    <t>FABRICACIÓN DE MAQUINARIA METALÚRGICA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</si>
  <si>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</si>
  <si>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</si>
  <si>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</si>
  <si>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DE USO ESPECIAL</t>
  </si>
  <si>
    <t>FABRICACIÓN DE VEHÍCULOS AUTOMOTORES</t>
  </si>
  <si>
    <t>FABRICACIÓN DE CARROCERÍAS PARA VEHÍCULOS AUTOMOTORES; FABRICACIÓN DE REMOLQUES Y SEMIRREMOLQUES</t>
  </si>
  <si>
    <t>FABRICACIÓN DE PARTES, PIEZAS Y ACCESORIOS PARA VEHÍCULOS DE AUTOMOTORES</t>
  </si>
  <si>
    <t>CONSTRUCCIÓN DE BUQUES Y ESTRUCTURAS FLOTANTES</t>
  </si>
  <si>
    <t>CONSTRUCCIÓN DE EMBARCACIONES DE RECREO Y DEPORTE</t>
  </si>
  <si>
    <t>FABRICACIÓN DE LOCOMOTORAS Y DE MATERIAL RODANTE</t>
  </si>
  <si>
    <t>FABRICACIÓN DE VEHÍCULOS MILITARES DE COMBATE</t>
  </si>
  <si>
    <t>FABRICACIÓN DE MOTOCICLETAS</t>
  </si>
  <si>
    <t>FABRICACIÓN DE BICICLETAS Y DE SILLONES DE RUEDAS PARA INVÁLIDOS</t>
  </si>
  <si>
    <t>FABRICACIÓN DE OTROS TIPOS DE EQUIPO DE TRANSPORTE N.C.P.</t>
  </si>
  <si>
    <t>FABRICACIÓN DE MUEBLES</t>
  </si>
  <si>
    <t>FABRICACIÓN DE JOYAS Y ARTÍCULOS CONEXOS</t>
  </si>
  <si>
    <t>FABRICACIÓN DE BISUTERÍA Y ARTÍCULOS CONEXOS</t>
  </si>
  <si>
    <t>FABRICACIÓN DE INSTRUMENTOS DE MÚSICA</t>
  </si>
  <si>
    <t>FABRICACIÓN DE ARTÍCULOS DE DEPORTE</t>
  </si>
  <si>
    <t>FABRICACIÓN DE JUEGOS Y JUGUETES</t>
  </si>
  <si>
    <t>FABRICACIÓN DE INSTRUMENTOS Y MATERIALES MÉDICOS Y ODONTOLÓGICOS</t>
  </si>
  <si>
    <t>OTRAS INDUSTRIAS MANUFACTURERAS N.C.P.</t>
  </si>
  <si>
    <t>REPARACIÓN DE PRODUCTOS ELABORADOS DE METAL</t>
  </si>
  <si>
    <t>REPARACIÓN DE MAQUINARIA</t>
  </si>
  <si>
    <t>REPARACIÓN DE EQUIPO ELECTRÓNICO Y ÓPTICO</t>
  </si>
  <si>
    <t>REPARACIÓN DE EQUIPO ELÉCTRICO</t>
  </si>
  <si>
    <t>REPARACIÓN DE EQUIPO DE TRANSPORTE, EXCEPTO VEHÍCULOS AUTOMOTORES</t>
  </si>
  <si>
    <t>REPARACIÓN DE OTROS TIPOS DE EQUIPO</t>
  </si>
  <si>
    <t>INSTALACIÓN DE MAQUINARIA Y EQUIPO INDUSTRIALES</t>
  </si>
  <si>
    <t>GENERACIÓN, TRANSMISIÓN Y DISTRIBUCIÓN DE ENERGÍA ELÉCTRICA</t>
  </si>
  <si>
    <t>FABRICACIÓN DEL GAS; DISTRIBUCIÓN DE COMBUSTIBLES GASEOSOS POR TUBERÍAS</t>
  </si>
  <si>
    <t>SUMINISTRO DE VAPOR Y AIRE ACONDICIONADO</t>
  </si>
  <si>
    <t>CAPTACIÓN, TRATAMIENTO Y DISTRIBUCIÓN DE AGUA</t>
  </si>
  <si>
    <t>EVACUACIÓN DE AGUAS RESIDUALES</t>
  </si>
  <si>
    <t>RECOGIDA DE DESECHOS NO PELIGROSOS</t>
  </si>
  <si>
    <t>RECOGIDA DE DESECHOS PELIGROSOS</t>
  </si>
  <si>
    <t>TRATAMIENTO Y ELIMINACIÓN DE DESECHOS NO PELIGROSOS</t>
  </si>
  <si>
    <t>TRATAMIENTO Y ELIMINACIÓN DE DESECHOS PELIGROSOS</t>
  </si>
  <si>
    <t>RECUPERACIÓN DE MATERIALES</t>
  </si>
  <si>
    <t>ACTIVIDADES DE DESCONTAMINACIÓN Y OTROS SERVICIOS DE GESTIÓN DE DESECHOS</t>
  </si>
  <si>
    <t>CONSTRUCCIÓN DE EDIFICIOS</t>
  </si>
  <si>
    <t>CONSTRUCCIÓN DE CARRETERAS Y LÍNEAS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</si>
  <si>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</si>
  <si>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</si>
  <si>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</si>
  <si>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</si>
  <si>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</si>
  <si>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</si>
  <si>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PARA OBRAS DE CONSTRUCCIÓN</t>
  </si>
  <si>
    <t>TERMINACIÓN Y ACABADO DE EDIFICIOS</t>
  </si>
  <si>
    <t>OTRAS ACTIVIDADES ESPECIALIZADAS DE LA CONSTRUCCIÓN</t>
  </si>
  <si>
    <t>VENTA DE VEHÍCULOS AUTOMOTORES</t>
  </si>
  <si>
    <t>MANTENIMIENTO Y REPARACIÓN DE VEHÍCULOS AUTOMOTORES</t>
  </si>
  <si>
    <t>VENTAS DE PARTES, PIEZAS Y ACCESORIOS PARA VEHÍCULOS AUTOMOTORES</t>
  </si>
  <si>
    <t>VENTA, MANTENIMIENTO Y REPARACIÓN DE MOTOCICLETAS Y DE SUS PARTES, PIEZAS Y ACCESORIOS.</t>
  </si>
  <si>
    <t>VENTA AL POR MAYOR A CAMBIO DE UNA RETRIBUCIÓN O POR CONTRATA</t>
  </si>
  <si>
    <t>VENTA AL POR MAYOR DE PRODUCTOS TEXTILES, PRENDAS DE VESTIR Y CALZADO</t>
  </si>
  <si>
    <t>VENTA AL POR MAYOR DE OTROS ENSERES DOMÉSTICOS</t>
  </si>
  <si>
    <t>VENTA AL POR MAYOR DE ORDENADORES, EQUIPO PERIFÉRICO Y PROGRAMAS DE INFORMÁTICA</t>
  </si>
  <si>
    <t>VENTA AL POR MAYOR DE EQUIPO, PARTES Y PIEZAS ELECTRÓNICOS Y DE TELECOMUNICACIONES</t>
  </si>
  <si>
    <t>VENTA AL POR MAYOR DE MAQUINARIA, EQUIPO Y MATERIALES AGROPECUARIOS</t>
  </si>
  <si>
    <t>VENTA AL POR MAYOR DE OTROS TIPOS DE MAQUINARIA Y EQUIPO</t>
  </si>
  <si>
    <t>VENTA AL POR MAYOR DE METALES Y MINERALES METALÍFEROS</t>
  </si>
  <si>
    <t>VENTA AL POR MAYOR DE DESPERDICIOS, DESECHOS, CHATARRA Y OTROS PRODUCTOS N.C.P</t>
  </si>
  <si>
    <t>VENTA AL POR MAYOR NO ESPECIALIZADA</t>
  </si>
  <si>
    <t>OTRAS ACTIVIDADES DE VENTA AL POR MENOR EN COMERCIOS NO ESPECIALIZADOS</t>
  </si>
  <si>
    <t>VENTA AL POR MENOR DE ALIMENTOS EN COMERCIOS ESPECIALIZADOS</t>
  </si>
  <si>
    <t>VENTA AL POR MENOR DE BEBIDAS EN COMERCIOS ESPECIALIZADOS</t>
  </si>
  <si>
    <t>VENTA AL POR MENOR DE PRODUCTOS DE TABACO EN COMERCIOS ESPECIALIZADOS</t>
  </si>
  <si>
    <t>VENTA AL POR MENOR DE COMBUSTIBLES PARA VEHÍCULOS AUTOMOTORES EN COMERCIOS ESPECIALIZADOS</t>
  </si>
  <si>
    <t>VENTA AL POR MENOR DE EQUIPO DE SONIDO Y DE VÍDEO EN COMERCIOS ESPECIALIZADOS</t>
  </si>
  <si>
    <t>VENTA AL POR MENOR DE PRODUCTOS TEXTILES EN COMERCIOS ESPECIALIZADOS</t>
  </si>
  <si>
    <t>VENTA AL POR MENOR DE LIBROS, PERIÓDICOS Y ARTÍCULOS DE PAPELERÍA EN COMERCIOS ESPECIALIZADOS</t>
  </si>
  <si>
    <t>VENTA AL POR MENOR DE GRABACIONES DE MÚSICA Y DE VÍDEO EN COMERCIOS ESPECIALIZADOS</t>
  </si>
  <si>
    <t>VENTA AL POR MENOR DE EQUIPO DE DEPORTE EN COMERCIOS ESPECIALIZADOS</t>
  </si>
  <si>
    <t>VENTA AL POR MENOR DE PRENDAS DE VESTIR, CALZADO Y ARTÍCULOS DE CUERO EN COMERCIOS ESPECIALIZADOS</t>
  </si>
  <si>
    <t>VENTA AL POR MENOR DE OTROS PRODUCTOS NUEVOS EN COMERCIOS ESPECIALIZADOS</t>
  </si>
  <si>
    <t>VENTA AL POR MENOR DE ARTÍCULOS DE SEGUNDA MANO</t>
  </si>
  <si>
    <t>VENTA AL POR MENOR DE ALIMENTOS, BEBIDAS Y TABACO EN PUESTOS DE VENTA Y MERCADOS</t>
  </si>
  <si>
    <t>VENTA AL POR MENOR DE PRODUCTOS TEXTILES, PRENDAS DE VESTIR Y CALZADO EN PUESTOS DE VENTA Y MERCADOS</t>
  </si>
  <si>
    <t>VENTA AL POR MENOR DE OTROS PRODUCTOS EN PUESTOS DE VENTA Y MERCADOS</t>
  </si>
  <si>
    <t>VENTA AL POR MENOR POR CORREO Y POR INTERNET</t>
  </si>
  <si>
    <t>OTRAS ACTIVIDADES DE VENTA AL POR MENOR NO REALIZADAS EN COMERCIOS, PUESTOS DE VENTA O MERCADOS</t>
  </si>
  <si>
    <t>TRANSPORTE INTERURBANO DE PASAJEROS POR FERROCARRIL</t>
  </si>
  <si>
    <t>TRANSPORTE DE CARGA POR FERROCARRIL</t>
  </si>
  <si>
    <t>TRANSPORTE URBANO Y SUBURBANO DE PASAJEROS POR VÍA TERRESTRE</t>
  </si>
  <si>
    <t>OTRAS ACTIVIDADES DE TRANSPORTE POR VÍA TERRESTRE</t>
  </si>
  <si>
    <t>TRANSPORTE DE CARGA POR CARRETERA</t>
  </si>
  <si>
    <t>TRANSPORTE POR TUBERÍAS</t>
  </si>
  <si>
    <t>TRANSPORTE DE PASAJEROS MARÍTIMO Y DE CABOTAJE</t>
  </si>
  <si>
    <t>TRANSPORTE DE CARGA MARÍTIMO Y DE CABOTAJE</t>
  </si>
  <si>
    <t>TRANSPORTE DE PASAJEROS POR VÍAS DE NAVEGACIÓN INTERIORES</t>
  </si>
  <si>
    <t>TRANSPORTE DE CARGA, POR VÍAS DE NAVEGACIÓN INTERIORES</t>
  </si>
  <si>
    <t>TRANSPORTE DE PASAJEROS POR VÍA AÉREA</t>
  </si>
  <si>
    <t>TRANSPORTE DE CARGA POR VÍA AÉREA</t>
  </si>
  <si>
    <t>ALMACENAMIENTO Y DEPÓSITO</t>
  </si>
  <si>
    <t>ACTIVIDADES DE SERVICIOS VINCULADAS AL TRANSPORTE TERRESTRE</t>
  </si>
  <si>
    <t>ACTIVIDADES DE SERVICIOS VINCULADAS AL TRANSPORTE ACUÁTICO</t>
  </si>
  <si>
    <t>ACTIVIDADES DE SERVICIOS VINCULADAS AL TRANSPORTE AÉREO</t>
  </si>
  <si>
    <t>MANIPULACIÓN DE CARGA</t>
  </si>
  <si>
    <t>OTRAS ACTIVIDADES DE APOYO AL TRANSPORTE</t>
  </si>
  <si>
    <t>ACTIVIDADES POSTALES</t>
  </si>
  <si>
    <t>ACTIVIDADES DE MENSAJERÍA</t>
  </si>
  <si>
    <t>ACTIVIDADES DE ALOJAMIENTO PARA ESTANCIAS CORTAS</t>
  </si>
  <si>
    <t>ACTIVIDADES DE CAMPAMENTOS, PARQUES DE VEHÍCULOS RECREATIVOS Y PARQUES DE CARAVANAS</t>
  </si>
  <si>
    <t>OTRAS ACTIVIDADES DE ALOJAMIENTO</t>
  </si>
  <si>
    <t>ACTIVIDADES DE RESTAURANTES Y DE SERVICIO MÓVIL DE COMIDAS</t>
  </si>
  <si>
    <t>SUMINISTRO DE COMIDAS POR ENCARGO</t>
  </si>
  <si>
    <t>OTRAS ACTIVIDADES DE SERVICIO DE COMIDAS</t>
  </si>
  <si>
    <t>ACTIVIDADES DE SERVICIO DE BEBIDAS</t>
  </si>
  <si>
    <t>EDICIÓN DE LIBROS</t>
  </si>
  <si>
    <t>EDICIÓN DE DIRECTORIOS Y LISTAS DE CORREO</t>
  </si>
  <si>
    <t>EDICIÓN DE PERIÓDICOS, REVISTAS Y OTRAS PUBLICACIONES PERIÓDICAS</t>
  </si>
  <si>
    <t>OTRAS ACTIVIDADES DE EDICIÓN</t>
  </si>
  <si>
    <t>EDICIÓN DE PROGRAMAS DE INFORMÁTICOS</t>
  </si>
  <si>
    <t>ACTIVIDADES DE PRODUCCIÓN DE PELÍCULAS CINEMATOGRÁFICAS, VÍDEOS Y PROGRAMAS DE TELEVISIÓN</t>
  </si>
  <si>
    <t>ACTIVIDADES DE POSTPRODUCCIÓN DE PELÍCULAS CINEMATOGRÁFICAS, VÍDEOS Y PROGRAMAS DE TELEVISIÓN</t>
  </si>
  <si>
    <t>ACTIVIDADES DE DISTRIBUCIÓN DE PELÍCULAS CINEMATOGRÁFICAS, VÍDEOS Y PROGRAMAS DE TELEVISIÓN</t>
  </si>
  <si>
    <t>ACTIVIDADES DE EXHIBICIÓN DE PELÍCULAS CINEMATOGRÁFICAS Y CINTAS DE VÍDEO</t>
  </si>
  <si>
    <t>ACTIVIDADES DE GRABACIÓN DE SONIDO Y EDICIÓN DE MÚSICA</t>
  </si>
  <si>
    <t>TRANSMISIONES DE RADIO</t>
  </si>
  <si>
    <t>PROGRAMACIÓN Y TRANSMISIONES DE TELEVISIÓN</t>
  </si>
  <si>
    <t>ACTIVIDADES DE TELECOMUNICACIONES ALÁMBRICAS</t>
  </si>
  <si>
    <t>ACTIVIDADES DE TELECOMUNICACIONES INALÁMBRICAS</t>
  </si>
  <si>
    <t>PROGRAMACIÓN INFORMÁTICA</t>
  </si>
  <si>
    <t>CONSULTORÍA DE INFORMÁTICA Y DE GESTIÓN DE INSTALACIONES INFORMÁTICAS</t>
  </si>
  <si>
    <t>OTRAS ACTIVIDADES DE TECNOLOGÍA DE LA INFORMACIÓN Y DE SERVICIOS INFORMÁTICOS</t>
  </si>
  <si>
    <t>PROCESAMIENTO DE DATOS, HOSPEDAJE Y ACTIVIDADES CONEXAS</t>
  </si>
  <si>
    <t>PORTALES WEB</t>
  </si>
  <si>
    <t>ACTIVIDADES DE AGENCIAS DE NOTICIAS</t>
  </si>
  <si>
    <t>OTRAS ACTIVIDADES DE SERVICIOS DE INFORMACIÓN N.C.P.</t>
  </si>
  <si>
    <t>BANCA CENTRAL</t>
  </si>
  <si>
    <t>ACTIVIDADES DE SOCIEDADES DE CARTERA</t>
  </si>
  <si>
    <t>FONDOS Y SOCIEDADES DE INVERSIÓN Y ENTIDADES FINANCIERAS SIMILARES</t>
  </si>
  <si>
    <t>ARRENDAMIENTO FINANCIERO</t>
  </si>
  <si>
    <t>OTRAS ACTIVIDADES DE CONCESIÓN DE CRÉDITO</t>
  </si>
  <si>
    <t>OTRAS ACTIVIDADES DE SERVICIOS FINANCIEROS, EXCEPTO LAS DE SEGUROS Y FONDOS DE PENSIONES, N.C.P.</t>
  </si>
  <si>
    <t>SEGUROS DE VIDA</t>
  </si>
  <si>
    <t>SEGUROS GENERALES</t>
  </si>
  <si>
    <t>REASEGUROS</t>
  </si>
  <si>
    <t>FONDOS DE PENSIONES</t>
  </si>
  <si>
    <t>ADMINISTRACIÓN DE MERCADOS FINANCIEROS</t>
  </si>
  <si>
    <t>CORRETAJE DE VALORES Y DE CONTRATOS DE PRODUCTOS BÁSICOS</t>
  </si>
  <si>
    <t>OTRAS ACTIVIDADES AUXILIARES DE LAS ACTIVIDADES DE SERVICIOS FINANCIEROS</t>
  </si>
  <si>
    <t>EVALUACIÓN DE RIESGOS Y DAÑOS</t>
  </si>
  <si>
    <t>ACTIVIDADES DE AGENTES Y CORREDORES DE SEGUROS</t>
  </si>
  <si>
    <t>OTRAS ACTIVIDADES AUXILIARES DE LAS ACTIVIDADES DE SEGUROS Y FONDOS DE PENSIONES</t>
  </si>
  <si>
    <t>ACTIVIDADES DE GESTIÓN DE FONDOS</t>
  </si>
  <si>
    <t>ACTIVIDADES INMOBILIARIAS REALIZADAS CON BIENES PROPIOS O ARRENDADOS</t>
  </si>
  <si>
    <t>ACTIVIDADES INMOBILIARIAS REALIZADAS A CAMBIO DE UNA RETRIBUCIÓN O POR CONTRATA</t>
  </si>
  <si>
    <t>ACTIVIDADES JURÍDICAS</t>
  </si>
  <si>
    <t>ACTIVIDADES DE CONTABILIDAD, TENEDURÍA DE LIBROS Y AUDITORÍA; CONSULTORÍA FISCAL</t>
  </si>
  <si>
    <t>ACTIVIDADES DE OFICINAS CENTRALES</t>
  </si>
  <si>
    <t>ACTIVIDADES DE CONSULTORÍA DE GESTIÓN</t>
  </si>
  <si>
    <t>ACTIVIDADES DE ARQUITECTURA E INGENIERÍA Y ACTIVIDADES CONEXAS DE CONSULTORÍA TÉCNICA</t>
  </si>
  <si>
    <t>ENSAYOS Y ANÁLISIS TÉCNICOS</t>
  </si>
  <si>
    <t>INVESTIGACIÓN Y DESARROLLO EXPERIMENTAL EN EL CAMPO DE LAS CIENCIAS NATURALES Y LA INGENIERÍA</t>
  </si>
  <si>
    <t>INVESTIGACIÓN Y DESARROLLO EXPERIMENTAL EN EL CAMPO DE LAS CIENCIAS SOCIALES Y LAS HUMANIDADES</t>
  </si>
  <si>
    <t>PUBLICIDAD</t>
  </si>
  <si>
    <t>ESTUDIOS DE MERCADO Y ENCUESTAS DE OPINIÓN PÚBLICA</t>
  </si>
  <si>
    <t>ACTIVIDADES ESPECIALIZADAS DE DISEÑO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</si>
  <si>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</si>
  <si>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</si>
  <si>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</si>
  <si>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</si>
  <si>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</si>
  <si>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>ALQUILER DE CINTAS DE VÍDEO Y DISCOS</t>
  </si>
  <si>
    <t>ALQUILER Y ARRENDAMIENTO DE OTROS EFECTOS PERSONALES Y ENSERES DOMÉSTICOS</t>
  </si>
  <si>
    <t>ALQUILER Y ARRENDAMIENTO DE OTROS TIPOS DE MAQUINARIA, EQUIPO Y BIENES TANGIBLES</t>
  </si>
  <si>
    <t>ACTIVIDADES DE AGENCIAS DE EMPLEO</t>
  </si>
  <si>
    <t>ACTIVIDADES DE AGENCIAS DE EMPLEO TEMPORAL</t>
  </si>
  <si>
    <t>OTRAS ACTIVIDADES DE DOTACIÓN DE RECURSOS HUMANOS</t>
  </si>
  <si>
    <t>ACTIVIDADES DE AGENCIAS DE VIAJES</t>
  </si>
  <si>
    <t>ACTIVIDADES DE OPERADORES TURÍSTICOS</t>
  </si>
  <si>
    <t>OTROS SERVICIOS DE RESERVAS Y ACTIVIDADES CONEXAS</t>
  </si>
  <si>
    <t>ACTIVIDADES DE SEGURIDAD PRIVADA</t>
  </si>
  <si>
    <t>ACTIVIDADES DE SERVICIO DE SISTEMAS DE SEGURIDAD</t>
  </si>
  <si>
    <t>ACTIVIDADES DE INVESTIGACIÓN</t>
  </si>
  <si>
    <t>ACTIVIDADES COMBINADAS DE APOYO A INSTALACIONES</t>
  </si>
  <si>
    <t>LIMPIEZA GENERAL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</si>
  <si>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</si>
  <si>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</si>
  <si>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</si>
  <si>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DE OFICINA</t>
  </si>
  <si>
    <t>ACTIVIDADES DE CENTROS DE LLAMADAS</t>
  </si>
  <si>
    <t>ORGANIZACIÓN DE CONVENCIONES Y EXPOSICIONES COMERCIALES</t>
  </si>
  <si>
    <t>ACTIVIDADES DE AGENCIAS DE COBRO Y AGENCIAS DE CALIFICACIÓN CREDITICIA</t>
  </si>
  <si>
    <t>ACTIVIDADES DE ENVASADO Y EMPAQUETADO</t>
  </si>
  <si>
    <t>OTRAS ACTIVIDADES DE SERVICIOS DE APOYO A LAS EMPRESAS N.C.P</t>
  </si>
  <si>
    <t>ACTIVIDADES DE LA ADMINISTRACIÓN PÚBLICA EN GENERAL</t>
  </si>
  <si>
    <t>REGULACIÓN Y FACILITACIÓN DE LA ACTIVIDAD ECONÓMICA</t>
  </si>
  <si>
    <t>RELACIONES EXTERIORES</t>
  </si>
  <si>
    <t>ACTIVIDADES DE DEFENSA</t>
  </si>
  <si>
    <t>ACTIVIDADES DE MANTENIMIENTO DEL ORDEN PÚBLICO Y DE SEGURIDAD</t>
  </si>
  <si>
    <t>ACTIVIDADES DE PLANES DE SEGURIDAD SOCIAL DE AFILIACIÓN OBLIGATORIA</t>
  </si>
  <si>
    <t>ENSEÑANZA PREESCOLAR Y PRIMARIA</t>
  </si>
  <si>
    <t>ENSEÑANZA SECUNDARIA DE FORMACIÓN GENERAL</t>
  </si>
  <si>
    <t>ENSEÑANZA SECUNDARIA DE FORMACIÓN TÉCNICA Y PROFESIONAL</t>
  </si>
  <si>
    <t>ENSEÑANZA SUPERIOR</t>
  </si>
  <si>
    <t>EDUCACIÓN DEPORTIVA Y RECREATIVA</t>
  </si>
  <si>
    <t>ENSEÑANZA CULTURAL</t>
  </si>
  <si>
    <t>OTROS TIPOS DE ENSEÑANZA N.C.P.</t>
  </si>
  <si>
    <t>ACTIVIDADES DE APOYO A LA ENSEÑANZA</t>
  </si>
  <si>
    <t>ACTIVIDADES DE HOSPITALES</t>
  </si>
  <si>
    <t>ACTIVIDADES DE MÉDICOS Y ODONTÓLOGOS</t>
  </si>
  <si>
    <t>OTRAS ACTIVIDADES DE ATENCIÓN DE LA SALUD HUMANA</t>
  </si>
  <si>
    <t>ACTIVIDADES DE ATENCIÓN DE ENFERMERÍA EN INSTITUCIONES</t>
  </si>
  <si>
    <t>ACTIVIDADES DE ATENCIÓN EN INSTITUCIONES PARA PERSONAS DE EDAD PERSONAS CON DISCAPACIDAD</t>
  </si>
  <si>
    <t>OTRAS ACTIVIDADES DE ATENCIÓN EN INSTITUCIONES</t>
  </si>
  <si>
    <t>ACTIVIDADES DE ASISTENCIA SOCIAL SIN ALOJAMIENTO PARA PERSONAS DE EDAD Y PERSONAS CON DISCAPACIDAD</t>
  </si>
  <si>
    <t>OTRAS ACTIVIDADES DE ASISTENCIA SOCIAL SIN ALOJAMIENTO</t>
  </si>
  <si>
    <t>ACTIVIDADES CREATIVAS, ARTÍSTICAS Y DE ENTRETENIMIENTO</t>
  </si>
  <si>
    <t>ACTIVIDADES DE BIBLIOTECAS Y ARCHIVOS</t>
  </si>
  <si>
    <t>ACTIVIDADES DE MUSEOS Y GESTIÓN DE LUGARES Y EDIFICIOS HISTÓRICOS</t>
  </si>
  <si>
    <t>ACTIVIDADES DE JARDINES BOTÁNICOS Y ZOOLÓGICOS Y RESERVAS NATURALES</t>
  </si>
  <si>
    <t>ACTIVIDADES DE JUEGOS DE AZAR Y APUESTAS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</si>
  <si>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</si>
  <si>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</si>
  <si>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</si>
  <si>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</si>
  <si>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OTRAS ACTIVIDADES DE ESPARCIMIENTO Y RECREATIVAS N.C.P.</t>
  </si>
  <si>
    <t>ACTIVIDADES DE ASOCIACIONES EMPRESARIALES Y DE EMPLEADORES</t>
  </si>
  <si>
    <t>ACTIVIDADES DE ASOCIACIONES PROFESIONALES</t>
  </si>
  <si>
    <t>ACTIVIDADES DE SINDICATOS</t>
  </si>
  <si>
    <t>ACTIVIDADES DE ORGANIZACIONES RELIGIOSAS</t>
  </si>
  <si>
    <t>ACTIVIDADES DE ORGANIZACIONES POLÍTICAS</t>
  </si>
  <si>
    <t>ACTIVIDADES DE OTRAS ASOCIACIONES N.C.P.</t>
  </si>
  <si>
    <t>REPARACIÓN DE ORDENADORES Y EQUIPO PERIFÉRICO</t>
  </si>
  <si>
    <t>REPARACIÓN DE EQUIPOS COMUNICACIONALES</t>
  </si>
  <si>
    <t>REPARACIÓN DE APARATOS ELECTRÓNICOS DE CONSUMO</t>
  </si>
  <si>
    <t>REPARACIÓN DE APARATOS DE USO DOMÉSTICO Y EQUIPO DOMÉSTICO Y DE JARDINERÍA</t>
  </si>
  <si>
    <t>REPARACIÓN DE CALZADO Y ARTÍCULOS DE CUERO</t>
  </si>
  <si>
    <t>REPARACIÓN DE MUEBLES Y ACCESORIOS DOMÉSTICOS</t>
  </si>
  <si>
    <t>REPARACIÓN DE OTROS EFECTOS PERSONALES Y ENSERES DOMÉSTICOS</t>
  </si>
  <si>
    <t>LAVADO Y LIMPIEZA, INCLUIDA LA LIMPIEZA EN SECO, DE PRODUCTOS TEXTILES Y DE PIEL</t>
  </si>
  <si>
    <t>PELUQUERÍA Y OTROS TRATAMIENTOS DE BELLEZA</t>
  </si>
  <si>
    <t>POMPAS FÚNEBRES Y ACTIVIDADES CONEXAS</t>
  </si>
  <si>
    <t>OTRAS ACTIVIDADES DE SERVICIOS PERSONALES N.C.P.</t>
  </si>
  <si>
    <t>ACTIVIDADES DE LOS HOGARES COMO EMPLEADORES DE PERSONAL DOMÉSTICO</t>
  </si>
  <si>
    <t>ACTIVIDADES DE ORGANIZACIONES Y ÓRGANOS EXTRATERRITORIALES</t>
  </si>
  <si>
    <t>Persona Jurídica (empresa o ente jurídico)</t>
  </si>
  <si>
    <t>Persona Natural (física)</t>
  </si>
  <si>
    <t>MODELO</t>
  </si>
  <si>
    <t>FACTOR</t>
  </si>
  <si>
    <t>PESO_FACTOR</t>
  </si>
  <si>
    <t>SUBFACTOR</t>
  </si>
  <si>
    <t>PESO_SUBFACTOR</t>
  </si>
  <si>
    <t>PESO_FINAL_SUBFACTOR</t>
  </si>
  <si>
    <t>Cliente</t>
  </si>
  <si>
    <t>TIPO_DEBIDA_DILIGENCIA</t>
  </si>
  <si>
    <t>OCUPACION</t>
  </si>
  <si>
    <t>ACTIVIDAD_ECONOMICA</t>
  </si>
  <si>
    <t>SUJETO_OBLIGADO</t>
  </si>
  <si>
    <t xml:space="preserve">PEP </t>
  </si>
  <si>
    <t>Producto</t>
  </si>
  <si>
    <t>MONEDA</t>
  </si>
  <si>
    <t>PRODUCTO</t>
  </si>
  <si>
    <t>CANAL</t>
  </si>
  <si>
    <t>TRANSACCIONALIDAD</t>
  </si>
  <si>
    <t>Zona Geografica</t>
  </si>
  <si>
    <t>NACIONALIDAD</t>
  </si>
  <si>
    <t>PAIS_RESIDENCIA</t>
  </si>
  <si>
    <t>DEPARTAMENTO_RESIDENCIA</t>
  </si>
  <si>
    <t>EXPOSICION_GEOGRAFICA</t>
  </si>
  <si>
    <t>PJ</t>
  </si>
  <si>
    <t>TIPO_ENTIDAD</t>
  </si>
  <si>
    <t>LONGEVIDAD_COMPAÑIA</t>
  </si>
  <si>
    <t>COMPLEJIDAD_PROPIEDAD</t>
  </si>
  <si>
    <t>PAIS_CONSTITUCION</t>
  </si>
  <si>
    <t>PAIS_RESIDENCIA_UBO</t>
  </si>
  <si>
    <t>PAIS_PRESENCIA</t>
  </si>
  <si>
    <t>PAIS_NACIMIENTO</t>
  </si>
  <si>
    <t>TIPO_FORMA_JURIDICA</t>
  </si>
  <si>
    <t>TIPO_CLIENTE</t>
  </si>
  <si>
    <t>PUNTAJE</t>
  </si>
  <si>
    <t>AMBOS</t>
  </si>
  <si>
    <t>COD_TIPO_CLIENTE</t>
  </si>
  <si>
    <t>DDG</t>
  </si>
  <si>
    <t>DDR</t>
  </si>
  <si>
    <t>COD_OCUPACION</t>
  </si>
  <si>
    <t>5º Categoría - Trabajador Dep.</t>
  </si>
  <si>
    <t>Sin categoría                 </t>
  </si>
  <si>
    <t>4º Categoría - Trabajador Ind.</t>
  </si>
  <si>
    <t>3º Categoria                 </t>
  </si>
  <si>
    <t>5ta Categoría - Trabajador Dependiente</t>
  </si>
  <si>
    <t>4º Categoría - Trabajador Dep.</t>
  </si>
  <si>
    <t>5º Categoría - Jubilado - Dep</t>
  </si>
  <si>
    <t>1º Categoría - Trabajador Dep.</t>
  </si>
  <si>
    <t>5ta Categoría - Jubilado</t>
  </si>
  <si>
    <t>5º Categoría - Trabajador Ind.</t>
  </si>
  <si>
    <t>4ta Categoría - Trabajador Independiente</t>
  </si>
  <si>
    <t>3ra Categoría - Per. Jurídica o Natural con RUC</t>
  </si>
  <si>
    <t>1º Categoría - Trabajador Ind.</t>
  </si>
  <si>
    <t>CODCIIU</t>
  </si>
  <si>
    <t>RIESGO_CRA_PJ</t>
  </si>
  <si>
    <t>PJ_AUTOHIGH</t>
  </si>
  <si>
    <t>RIESGO_CRA_PN</t>
  </si>
  <si>
    <t>PN_AUTOHIGH</t>
  </si>
  <si>
    <t>ACTIVIDADES DE ATENCIÓN EN INSTITUCIONES PARA PERSONAS CON RETRASO MENTAL, ENFERMOS MENTALES Y TOXIC</t>
  </si>
  <si>
    <t>ACTIVIDADES DE TELECOMUNICACIONES POR SATÉLITE.</t>
  </si>
  <si>
    <t>ARRENDAMIENTO DE PROPIEDAD INTELECTUAL Y PRODUCTOS SIMILARES, EXCEPTO OBRAS PROTEGIDAS POR DERECHOS</t>
  </si>
  <si>
    <t>ASALARIADOS</t>
  </si>
  <si>
    <t>CULTIVO DE CEREALES (EXCEPTO     ARROZ), LEGUMBRES Y SEMILLAS OLEAGINOSAS</t>
  </si>
  <si>
    <t>CULTIVO DE CÍTRICOS</t>
  </si>
  <si>
    <t>ELABORACIÓN DE PRODUCTOS DE MOLINERÍA.</t>
  </si>
  <si>
    <t>ELABORACIÒN Y CONSERVACIÓN DE FRUTAS,LEGUMBRES Y HORTALIZAS</t>
  </si>
  <si>
    <t>FABRICACIÓN DE AERONAVES Y NAVES ESPACIALES Y MAQUINARIA CONEXA</t>
  </si>
  <si>
    <t>FABRICACIÓN DE JABONES Y DETERGENTES, PREPARADOS PARA LIMPIAR Y PULIR, PERFUMES Y PREPARADOS DE TOCA</t>
  </si>
  <si>
    <t>FABRICACIÓN DE MALETAS, BOLSOS DE MANO, Y ARTÍCULOS SIMILARES,Y DE ARTICULOS DE TALABARTERÍA Y GUARN</t>
  </si>
  <si>
    <t>FABRICACIÓN DE MOTORES Y TURBINAS, EXCEPTO MOTORES PARA AERONAVES, VEHÍCULOS AUTOMOTORES Y MOTOCICLE</t>
  </si>
  <si>
    <t>FABRICACIÓN DE MOTORES, GENERADORES Y TRANSFORMADORES ELÉCTRICOS Y APARATOS DE DISTRIBUCIÓN Y CONTRO</t>
  </si>
  <si>
    <t>FABRICACIÓN DE OTROS PRODUCTOS DE MADERA; FABRICACIÓN DE ARTÍCULOS DE CORCHO, PAJA Y MATERIALES TREN</t>
  </si>
  <si>
    <t>FABRICACIÓN DE PINTURAS, BARNICES Y PRODUCTOS DE REVESTIMIENTO SIMILARES, TINTAS DE IMPRENTA Y MASIL</t>
  </si>
  <si>
    <t>FABRICACIÓN DE PRODUCTOS FARMACÉUTICOS, SUSTANCIAS QUÍMICAS MEDICINALES Y PRODUCTOS BOTÁNICOS DE USO</t>
  </si>
  <si>
    <t>OTRAS ACTIVIDADES DE TELECOMUNICACIÓN.</t>
  </si>
  <si>
    <t>OTROS TIPOS DE INTERMEDIACIÓN MONETARIA.</t>
  </si>
  <si>
    <t>REGULACIÓN DE LAS ACTIVIDADES DE ORGANISMOS QUE PRESTAN SERVICIOS SANITARIOS, EDUCATIVOS, CULTURALES</t>
  </si>
  <si>
    <t>RENTISTAS DE CAPITAL. SOLO PARA PERSONAS NATURALES</t>
  </si>
  <si>
    <t>VENTA AL POR MAYOR DE ALIMENTOS, BEBIDAS Y TABACO.</t>
  </si>
  <si>
    <t>VENTA AL POR MAYOR DE COMBUSTIBLES SÓLIDOS, LÍQUIDOS Y GASEOSOS Y PRODUCTOS CONEXOS</t>
  </si>
  <si>
    <t>VENTA AL POR MAYOR DE MATERIALES DE CONSTRUCCIÓN, ARTÍCULOS DE FERRETERÍA Y EQUIPO Y MATERIALES DE F</t>
  </si>
  <si>
    <t>VENTA AL POR MAYOR DE MATERIAS PRIMAS AGROPECUARIAS Y ANIMALES VIVOS.</t>
  </si>
  <si>
    <t>VENTA AL POR MENOR DE APARATOS ELÉCTRICOS DE USO DOMÉSTICO, MUEBLES, EQUIPO DE ILUMINACIÓN Y OTROS E</t>
  </si>
  <si>
    <t>VENTA AL POR MENOR DE ARTÍCULOS DE FERRETERÍA, PINTURAS Y PRODUCTOS DE VIDRIO EN COMERCIOS ESPECIALI</t>
  </si>
  <si>
    <t>VENTA AL POR MENOR DE JUEGOS Y JUGUETES EN COMERCIOS ESPECIALIZADOS</t>
  </si>
  <si>
    <t>VENTA AL POR MENOR DE ORDENADORES, EQUIPO PERIFÉRICO, PROGRAMAS INFORMÁTICOS Y EQUIPO DE TELECOMUNIC</t>
  </si>
  <si>
    <t>VENTA AL POR MENOR DE PRODUCTOS FARMACÉUTICOS Y MEDICINALES, COSMÉTICOS Y ARTÍCULOS DE TOCADOR EN CO</t>
  </si>
  <si>
    <t>VENTA AL POR MENOR DE TAPICES, ALFOMBRAS Y CUBRIMIENTOS PARA PAREDES Y PISOS EN COMERCIOS ESPECIALIZ</t>
  </si>
  <si>
    <t>VENTA AL POR MENOR EN COMERCIOS NO ESPECIALIZADOS CON PREDOMINIO DE LA VENTA DE ALIMENTOS, BEBIDAS O</t>
  </si>
  <si>
    <t>LISTAS_BLOQUEANTES</t>
  </si>
  <si>
    <t>COD_PRODUCTO</t>
  </si>
  <si>
    <t>DOLAR ESTADOUNIDENSE</t>
  </si>
  <si>
    <t>1313</t>
  </si>
  <si>
    <t>8110</t>
  </si>
  <si>
    <t>8211</t>
  </si>
  <si>
    <t>9000</t>
  </si>
  <si>
    <t>8291</t>
  </si>
  <si>
    <t>7810</t>
  </si>
  <si>
    <t>7820</t>
  </si>
  <si>
    <t>6391</t>
  </si>
  <si>
    <t>7911</t>
  </si>
  <si>
    <t>6622</t>
  </si>
  <si>
    <t>5510</t>
  </si>
  <si>
    <t>8550</t>
  </si>
  <si>
    <t>7110</t>
  </si>
  <si>
    <t>8810</t>
  </si>
  <si>
    <t>9411</t>
  </si>
  <si>
    <t>9412</t>
  </si>
  <si>
    <t>8710</t>
  </si>
  <si>
    <t>8720</t>
  </si>
  <si>
    <t>8730</t>
  </si>
  <si>
    <t>9101</t>
  </si>
  <si>
    <t>5520</t>
  </si>
  <si>
    <t>8220</t>
  </si>
  <si>
    <t>9312</t>
  </si>
  <si>
    <t>7020</t>
  </si>
  <si>
    <t>6920</t>
  </si>
  <si>
    <t>8422</t>
  </si>
  <si>
    <t>3900</t>
  </si>
  <si>
    <t>5913</t>
  </si>
  <si>
    <t>8292</t>
  </si>
  <si>
    <t>5914</t>
  </si>
  <si>
    <t>7420</t>
  </si>
  <si>
    <t>6630</t>
  </si>
  <si>
    <t>5920</t>
  </si>
  <si>
    <t>8610</t>
  </si>
  <si>
    <t>8030</t>
  </si>
  <si>
    <t>9103</t>
  </si>
  <si>
    <t>9200</t>
  </si>
  <si>
    <t>8411</t>
  </si>
  <si>
    <t>9700</t>
  </si>
  <si>
    <t>8423</t>
  </si>
  <si>
    <t>8620</t>
  </si>
  <si>
    <t>5320</t>
  </si>
  <si>
    <t>9102</t>
  </si>
  <si>
    <t>7010</t>
  </si>
  <si>
    <t>7912</t>
  </si>
  <si>
    <t>9492</t>
  </si>
  <si>
    <t>9491</t>
  </si>
  <si>
    <t>9900</t>
  </si>
  <si>
    <t>9499</t>
  </si>
  <si>
    <t>8130</t>
  </si>
  <si>
    <t>9321</t>
  </si>
  <si>
    <t>8430</t>
  </si>
  <si>
    <t>5912</t>
  </si>
  <si>
    <t>5911</t>
  </si>
  <si>
    <t>5610</t>
  </si>
  <si>
    <t>8010</t>
  </si>
  <si>
    <t>5630</t>
  </si>
  <si>
    <t>8020</t>
  </si>
  <si>
    <t>1812</t>
  </si>
  <si>
    <t>5222</t>
  </si>
  <si>
    <t>5223</t>
  </si>
  <si>
    <t>5221</t>
  </si>
  <si>
    <t>9420</t>
  </si>
  <si>
    <t>6420</t>
  </si>
  <si>
    <t>6110</t>
  </si>
  <si>
    <t>6120</t>
  </si>
  <si>
    <t>6130</t>
  </si>
  <si>
    <t>7410</t>
  </si>
  <si>
    <t>6820</t>
  </si>
  <si>
    <t>6810</t>
  </si>
  <si>
    <t>6910</t>
  </si>
  <si>
    <t>5310</t>
  </si>
  <si>
    <t>7500</t>
  </si>
  <si>
    <t>6611</t>
  </si>
  <si>
    <t>5210</t>
  </si>
  <si>
    <t>7722</t>
  </si>
  <si>
    <t>7721</t>
  </si>
  <si>
    <t>7729</t>
  </si>
  <si>
    <t>7730</t>
  </si>
  <si>
    <t>7710</t>
  </si>
  <si>
    <t>7740</t>
  </si>
  <si>
    <t>6491</t>
  </si>
  <si>
    <t>0010</t>
  </si>
  <si>
    <t>1610</t>
  </si>
  <si>
    <t>6411</t>
  </si>
  <si>
    <t>3600</t>
  </si>
  <si>
    <t>3011</t>
  </si>
  <si>
    <t>4210</t>
  </si>
  <si>
    <t>4100</t>
  </si>
  <si>
    <t>3012</t>
  </si>
  <si>
    <t>4290</t>
  </si>
  <si>
    <t>4220</t>
  </si>
  <si>
    <t>6202</t>
  </si>
  <si>
    <t>6612</t>
  </si>
  <si>
    <t>2396</t>
  </si>
  <si>
    <t>1511</t>
  </si>
  <si>
    <t>4311</t>
  </si>
  <si>
    <t>1101</t>
  </si>
  <si>
    <t>5812</t>
  </si>
  <si>
    <t>5811</t>
  </si>
  <si>
    <t>5813</t>
  </si>
  <si>
    <t>5820</t>
  </si>
  <si>
    <t>8541</t>
  </si>
  <si>
    <t>1040</t>
  </si>
  <si>
    <t>1062</t>
  </si>
  <si>
    <t>1072</t>
  </si>
  <si>
    <t>1103</t>
  </si>
  <si>
    <t>1104</t>
  </si>
  <si>
    <t>1073</t>
  </si>
  <si>
    <t>1075</t>
  </si>
  <si>
    <t>1074</t>
  </si>
  <si>
    <t>1079</t>
  </si>
  <si>
    <t>1080</t>
  </si>
  <si>
    <t>1061</t>
  </si>
  <si>
    <t>1071</t>
  </si>
  <si>
    <t>1200</t>
  </si>
  <si>
    <t>1050</t>
  </si>
  <si>
    <t>1102</t>
  </si>
  <si>
    <t>1010</t>
  </si>
  <si>
    <t>1030</t>
  </si>
  <si>
    <t>1020</t>
  </si>
  <si>
    <t>7120</t>
  </si>
  <si>
    <t>8542</t>
  </si>
  <si>
    <t>8510</t>
  </si>
  <si>
    <t>8521</t>
  </si>
  <si>
    <t>8522</t>
  </si>
  <si>
    <t>8530</t>
  </si>
  <si>
    <t>7320</t>
  </si>
  <si>
    <t>3700</t>
  </si>
  <si>
    <t>6621</t>
  </si>
  <si>
    <t>2012</t>
  </si>
  <si>
    <t>3030</t>
  </si>
  <si>
    <t>2750</t>
  </si>
  <si>
    <t>2640</t>
  </si>
  <si>
    <t>2520</t>
  </si>
  <si>
    <t>1392</t>
  </si>
  <si>
    <t>2593</t>
  </si>
  <si>
    <t>3230</t>
  </si>
  <si>
    <t>2395</t>
  </si>
  <si>
    <t>1420</t>
  </si>
  <si>
    <t>1430</t>
  </si>
  <si>
    <t>3092</t>
  </si>
  <si>
    <t>3212</t>
  </si>
  <si>
    <t>2813</t>
  </si>
  <si>
    <t>2731</t>
  </si>
  <si>
    <t>1520</t>
  </si>
  <si>
    <t>2920</t>
  </si>
  <si>
    <t>2394</t>
  </si>
  <si>
    <t>2814</t>
  </si>
  <si>
    <t>2610</t>
  </si>
  <si>
    <t>2211</t>
  </si>
  <si>
    <t>1394</t>
  </si>
  <si>
    <t>2733</t>
  </si>
  <si>
    <t>2816</t>
  </si>
  <si>
    <t>2660</t>
  </si>
  <si>
    <t>2651</t>
  </si>
  <si>
    <t>2812</t>
  </si>
  <si>
    <t>2740</t>
  </si>
  <si>
    <t>2630</t>
  </si>
  <si>
    <t>2030</t>
  </si>
  <si>
    <t>2818</t>
  </si>
  <si>
    <t>1621</t>
  </si>
  <si>
    <t>2815</t>
  </si>
  <si>
    <t>3220</t>
  </si>
  <si>
    <t>2670</t>
  </si>
  <si>
    <t>3250</t>
  </si>
  <si>
    <t>2023</t>
  </si>
  <si>
    <t>3211</t>
  </si>
  <si>
    <t>3240</t>
  </si>
  <si>
    <t>3020</t>
  </si>
  <si>
    <t>2513</t>
  </si>
  <si>
    <t>1512</t>
  </si>
  <si>
    <t>2821</t>
  </si>
  <si>
    <t>2823</t>
  </si>
  <si>
    <t>2824</t>
  </si>
  <si>
    <t>2822</t>
  </si>
  <si>
    <t>2825</t>
  </si>
  <si>
    <t>2826</t>
  </si>
  <si>
    <t>2817</t>
  </si>
  <si>
    <t>2392</t>
  </si>
  <si>
    <t>3091</t>
  </si>
  <si>
    <t>2811</t>
  </si>
  <si>
    <t>2710</t>
  </si>
  <si>
    <t>3100</t>
  </si>
  <si>
    <t>2620</t>
  </si>
  <si>
    <t>1709</t>
  </si>
  <si>
    <t>2732</t>
  </si>
  <si>
    <t>2219</t>
  </si>
  <si>
    <t>1629</t>
  </si>
  <si>
    <t>2393</t>
  </si>
  <si>
    <t>2599</t>
  </si>
  <si>
    <t>2399</t>
  </si>
  <si>
    <t>2029</t>
  </si>
  <si>
    <t>1399</t>
  </si>
  <si>
    <t>3099</t>
  </si>
  <si>
    <t>2790</t>
  </si>
  <si>
    <t>2829</t>
  </si>
  <si>
    <t>2819</t>
  </si>
  <si>
    <t>1622</t>
  </si>
  <si>
    <t>2930</t>
  </si>
  <si>
    <t>1701</t>
  </si>
  <si>
    <t>2720</t>
  </si>
  <si>
    <t>2022</t>
  </si>
  <si>
    <t>2021</t>
  </si>
  <si>
    <t>2013</t>
  </si>
  <si>
    <t>1410</t>
  </si>
  <si>
    <t>1910</t>
  </si>
  <si>
    <t>1920</t>
  </si>
  <si>
    <t>2220</t>
  </si>
  <si>
    <t>2100</t>
  </si>
  <si>
    <t>2511</t>
  </si>
  <si>
    <t>2420</t>
  </si>
  <si>
    <t>2391</t>
  </si>
  <si>
    <t>1623</t>
  </si>
  <si>
    <t>2652</t>
  </si>
  <si>
    <t>2680</t>
  </si>
  <si>
    <t>2011</t>
  </si>
  <si>
    <t>2512</t>
  </si>
  <si>
    <t>1393</t>
  </si>
  <si>
    <t>1391</t>
  </si>
  <si>
    <t>2910</t>
  </si>
  <si>
    <t>3040</t>
  </si>
  <si>
    <t>2310</t>
  </si>
  <si>
    <t>3520</t>
  </si>
  <si>
    <t>1702</t>
  </si>
  <si>
    <t>6530</t>
  </si>
  <si>
    <t>6430</t>
  </si>
  <si>
    <t>2591</t>
  </si>
  <si>
    <t>8219</t>
  </si>
  <si>
    <t>2431</t>
  </si>
  <si>
    <t>2432</t>
  </si>
  <si>
    <t>3510</t>
  </si>
  <si>
    <t>9311</t>
  </si>
  <si>
    <t>1811</t>
  </si>
  <si>
    <t>2410</t>
  </si>
  <si>
    <t>3320</t>
  </si>
  <si>
    <t>4322</t>
  </si>
  <si>
    <t>4321</t>
  </si>
  <si>
    <t>7210</t>
  </si>
  <si>
    <t>7220</t>
  </si>
  <si>
    <t>9601</t>
  </si>
  <si>
    <t>8121</t>
  </si>
  <si>
    <t>5224</t>
  </si>
  <si>
    <t>4520</t>
  </si>
  <si>
    <t>8230</t>
  </si>
  <si>
    <t>6629</t>
  </si>
  <si>
    <t>6619</t>
  </si>
  <si>
    <t>5590</t>
  </si>
  <si>
    <t>5229</t>
  </si>
  <si>
    <t>8890</t>
  </si>
  <si>
    <t>8690</t>
  </si>
  <si>
    <t>8790</t>
  </si>
  <si>
    <t>6492</t>
  </si>
  <si>
    <t>7830</t>
  </si>
  <si>
    <t>5819</t>
  </si>
  <si>
    <t>9329</t>
  </si>
  <si>
    <t>8129</t>
  </si>
  <si>
    <t>5629</t>
  </si>
  <si>
    <t>8299</t>
  </si>
  <si>
    <t>6399</t>
  </si>
  <si>
    <t>6499</t>
  </si>
  <si>
    <t>9609</t>
  </si>
  <si>
    <t>6209</t>
  </si>
  <si>
    <t>6190</t>
  </si>
  <si>
    <t>4922</t>
  </si>
  <si>
    <t>4719</t>
  </si>
  <si>
    <t>4799</t>
  </si>
  <si>
    <t>9319</t>
  </si>
  <si>
    <t>4390</t>
  </si>
  <si>
    <t>7490</t>
  </si>
  <si>
    <t>3290</t>
  </si>
  <si>
    <t>4329</t>
  </si>
  <si>
    <t>7990</t>
  </si>
  <si>
    <t>8549</t>
  </si>
  <si>
    <t>6419</t>
  </si>
  <si>
    <t>9602</t>
  </si>
  <si>
    <t>9603</t>
  </si>
  <si>
    <t>6312</t>
  </si>
  <si>
    <t>4312</t>
  </si>
  <si>
    <t>1311</t>
  </si>
  <si>
    <t>6311</t>
  </si>
  <si>
    <t>6201</t>
  </si>
  <si>
    <t>6020</t>
  </si>
  <si>
    <t>7310</t>
  </si>
  <si>
    <t>6520</t>
  </si>
  <si>
    <t>3811</t>
  </si>
  <si>
    <t>3812</t>
  </si>
  <si>
    <t>3830</t>
  </si>
  <si>
    <t>8412</t>
  </si>
  <si>
    <t>8413</t>
  </si>
  <si>
    <t>8421</t>
  </si>
  <si>
    <t>0090</t>
  </si>
  <si>
    <t>9522</t>
  </si>
  <si>
    <t>9521</t>
  </si>
  <si>
    <t>9523</t>
  </si>
  <si>
    <t>3315</t>
  </si>
  <si>
    <t>3314</t>
  </si>
  <si>
    <t>3313</t>
  </si>
  <si>
    <t>9512</t>
  </si>
  <si>
    <t>3312</t>
  </si>
  <si>
    <t>9524</t>
  </si>
  <si>
    <t>9511</t>
  </si>
  <si>
    <t>9529</t>
  </si>
  <si>
    <t>3319</t>
  </si>
  <si>
    <t>3311</t>
  </si>
  <si>
    <t>1820</t>
  </si>
  <si>
    <t>6511</t>
  </si>
  <si>
    <t>6512</t>
  </si>
  <si>
    <t>5621</t>
  </si>
  <si>
    <t>3530</t>
  </si>
  <si>
    <t>1312</t>
  </si>
  <si>
    <t>4330</t>
  </si>
  <si>
    <t>6010</t>
  </si>
  <si>
    <t>5012</t>
  </si>
  <si>
    <t>4923</t>
  </si>
  <si>
    <t>4912</t>
  </si>
  <si>
    <t>5120</t>
  </si>
  <si>
    <t>5022</t>
  </si>
  <si>
    <t>5011</t>
  </si>
  <si>
    <t>5110</t>
  </si>
  <si>
    <t>5021</t>
  </si>
  <si>
    <t>4911</t>
  </si>
  <si>
    <t>4930</t>
  </si>
  <si>
    <t>4921</t>
  </si>
  <si>
    <t>3821</t>
  </si>
  <si>
    <t>3822</t>
  </si>
  <si>
    <t>2592</t>
  </si>
  <si>
    <t>4610</t>
  </si>
  <si>
    <t>4630</t>
  </si>
  <si>
    <t>4661</t>
  </si>
  <si>
    <t>4669</t>
  </si>
  <si>
    <t>4652</t>
  </si>
  <si>
    <t>4653</t>
  </si>
  <si>
    <t>4663</t>
  </si>
  <si>
    <t>4620</t>
  </si>
  <si>
    <t>4662</t>
  </si>
  <si>
    <t>4651</t>
  </si>
  <si>
    <t>4649</t>
  </si>
  <si>
    <t>4659</t>
  </si>
  <si>
    <t>4641</t>
  </si>
  <si>
    <t>4690</t>
  </si>
  <si>
    <t>4721</t>
  </si>
  <si>
    <t>4781</t>
  </si>
  <si>
    <t>4759</t>
  </si>
  <si>
    <t>4752</t>
  </si>
  <si>
    <t>4774</t>
  </si>
  <si>
    <t>4722</t>
  </si>
  <si>
    <t>4730</t>
  </si>
  <si>
    <t>4763</t>
  </si>
  <si>
    <t>4742</t>
  </si>
  <si>
    <t>4762</t>
  </si>
  <si>
    <t>4764</t>
  </si>
  <si>
    <t>4761</t>
  </si>
  <si>
    <t>4741</t>
  </si>
  <si>
    <t>4789</t>
  </si>
  <si>
    <t>4773</t>
  </si>
  <si>
    <t>4771</t>
  </si>
  <si>
    <t>4723</t>
  </si>
  <si>
    <t>4772</t>
  </si>
  <si>
    <t>4751</t>
  </si>
  <si>
    <t>4782</t>
  </si>
  <si>
    <t>4753</t>
  </si>
  <si>
    <t>4711</t>
  </si>
  <si>
    <t>4791</t>
  </si>
  <si>
    <t>4510</t>
  </si>
  <si>
    <t>4540</t>
  </si>
  <si>
    <t>4530</t>
  </si>
  <si>
    <t>RIESGO</t>
  </si>
  <si>
    <t>COD_CANAL</t>
  </si>
  <si>
    <t>Ucrania</t>
  </si>
  <si>
    <t>ARGENTINA</t>
  </si>
  <si>
    <t>BELGIUM</t>
  </si>
  <si>
    <t>BULGARIA</t>
  </si>
  <si>
    <t>BRASIL</t>
  </si>
  <si>
    <t>BOLIVIA</t>
  </si>
  <si>
    <t>CANADA</t>
  </si>
  <si>
    <t>HONDURAS</t>
  </si>
  <si>
    <t>KOREA</t>
  </si>
  <si>
    <t>INDIA</t>
  </si>
  <si>
    <t>LEBANON</t>
  </si>
  <si>
    <t>PAIS</t>
  </si>
  <si>
    <t>COD_PAIS</t>
  </si>
  <si>
    <t>FLAG_AUTOHIGH</t>
  </si>
  <si>
    <t>UBIGEO</t>
  </si>
  <si>
    <t>Amazonas</t>
  </si>
  <si>
    <t>MEDIO</t>
  </si>
  <si>
    <t>Ancash</t>
  </si>
  <si>
    <t>Apurimac</t>
  </si>
  <si>
    <t>Arequipa</t>
  </si>
  <si>
    <t>ALTO</t>
  </si>
  <si>
    <t>Ayacucho</t>
  </si>
  <si>
    <t>MUY ALTO</t>
  </si>
  <si>
    <t>Cajamarca</t>
  </si>
  <si>
    <t>MUY BAJO</t>
  </si>
  <si>
    <t>Callao</t>
  </si>
  <si>
    <t>Cusco</t>
  </si>
  <si>
    <t>Huancavelica</t>
  </si>
  <si>
    <t>Huanuco</t>
  </si>
  <si>
    <t>Ica</t>
  </si>
  <si>
    <t>BAJO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</si>
  <si>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</si>
  <si>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</si>
  <si>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</si>
  <si>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</si>
  <si>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</si>
  <si>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</si>
  <si>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</si>
  <si>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</si>
  <si>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</si>
  <si>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</si>
  <si>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</si>
  <si>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</si>
  <si>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</si>
  <si>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</si>
  <si>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</si>
  <si>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SAC</t>
  </si>
  <si>
    <t>Transaccionalidad regular</t>
  </si>
  <si>
    <t>Transaccionalidad alta</t>
  </si>
  <si>
    <t>TAMANO_PJ</t>
  </si>
  <si>
    <t>*AL NO TENER EL DATO SE APLICA MAYOR PUNTAJE</t>
  </si>
  <si>
    <t>COMPLEJA</t>
  </si>
  <si>
    <t>COD_FORMA_JURIDICA</t>
  </si>
  <si>
    <t>SACS</t>
  </si>
  <si>
    <t>SAA</t>
  </si>
  <si>
    <t>SOCIEDAD_CIVIL</t>
  </si>
  <si>
    <t>SOCIEDAD_MINERA_RL</t>
  </si>
  <si>
    <t>ASOCIACION</t>
  </si>
  <si>
    <t>FUNDACION</t>
  </si>
  <si>
    <t>COOPERATIVA</t>
  </si>
  <si>
    <t>CONSORCIO</t>
  </si>
  <si>
    <t>COMUNIDAD_CAMPESINA</t>
  </si>
  <si>
    <t>COMUNIDAD_NATIVA</t>
  </si>
  <si>
    <t>ONG</t>
  </si>
  <si>
    <t>JUNTA_PROPIETARIOS</t>
  </si>
  <si>
    <t>NO_IDENTIFICADO</t>
  </si>
  <si>
    <t>SOCIEDAD_COMANDITA</t>
  </si>
  <si>
    <t>COD_TIPO_ENTIDAD</t>
  </si>
  <si>
    <t>ENTIDADES PRIVADAS CON ANIMO DE LUCRO</t>
  </si>
  <si>
    <t>ENTIDADES CON ANIMO DE LUCRO QUE COTIZAN EN BOLSA</t>
  </si>
  <si>
    <t>AUTONOMOS</t>
  </si>
  <si>
    <t>ENTIDADES PRIVADAS SIN ANIMO DE LUCRO</t>
  </si>
  <si>
    <t>ENTIDADES PUBLICAS</t>
  </si>
  <si>
    <t>MISIONES DIPLOMATICAS</t>
  </si>
  <si>
    <t>NO IDENTIFICADO</t>
  </si>
  <si>
    <t>SQL</t>
  </si>
  <si>
    <t>OTRAS ACTIVIDADES NO ESPECIFICADAS</t>
  </si>
  <si>
    <t>PEP</t>
  </si>
  <si>
    <t>Descripcion</t>
  </si>
  <si>
    <t>Menos de 2 años</t>
  </si>
  <si>
    <t>Entre 2 a 5 años</t>
  </si>
  <si>
    <t>Mayor a 5 años</t>
  </si>
  <si>
    <t>null</t>
  </si>
  <si>
    <t>CLIENTE</t>
  </si>
  <si>
    <t>COD_CIIU</t>
  </si>
  <si>
    <t>COD_DEPARTAMENTO_RESIDENCIA</t>
  </si>
  <si>
    <t>COD_PAIS_NACIMIENTO</t>
  </si>
  <si>
    <t>COD_NACIONALIDAD</t>
  </si>
  <si>
    <t>FECHA_CONSTITUCION</t>
  </si>
  <si>
    <t>COD_PAIS_CONSTITUCION</t>
  </si>
  <si>
    <t>COD_PAIS_RESIDENCIA_UBO</t>
  </si>
  <si>
    <t>COD_PAIS_PRESENCIA</t>
  </si>
  <si>
    <t>NRO_DOCUMENTO</t>
  </si>
  <si>
    <t>TIPO_DOCUMENTO</t>
  </si>
  <si>
    <t>COD_PAIS_RESIDENCIA</t>
  </si>
  <si>
    <t>CréditosdeConsumonorevolventes/PlanSelect_CompraMPaperless</t>
  </si>
  <si>
    <t>CréditosaPeque?asEmpresas/PlanSelect_CompraMPaperless</t>
  </si>
  <si>
    <t>CréditosdeConsumonorevolventes/Black_C.Maestra_Paperless$</t>
  </si>
  <si>
    <t>CréditosdeConsumonorevolventes/Black_Tradicional_Paperless$</t>
  </si>
  <si>
    <t>CréditosdeConsumonorevolventes/Black_P.Convers_PaperlessS/</t>
  </si>
  <si>
    <t>CréditosdeConsumonorevolventes/Plan50/50_Paperless-12M.$</t>
  </si>
  <si>
    <t>CréditosaPeque?asEmpresas/Plan50/50_Paperless-12M.$</t>
  </si>
  <si>
    <t>CréditosaMicroempresas/Plan50/50_Paperless-12M.$</t>
  </si>
  <si>
    <t>CréditosaMedianasEmpresas/Restructuracuotaballoon</t>
  </si>
  <si>
    <t>CréditosdeConsumonorevolventes/Tradicional_Paperless_AgilS/</t>
  </si>
  <si>
    <t>CréditosaMicroempresas/Tradicional_Paperless_AgilS/</t>
  </si>
  <si>
    <t>CréditosaMicroempresas/Black_Tradicional_Paperless$</t>
  </si>
  <si>
    <t>CréditosaMicroempresas/CompraMaestra</t>
  </si>
  <si>
    <t>CréditosaPeque?asEmpresas/TradicionalM.S/.</t>
  </si>
  <si>
    <t>CréditosaPeque?asEmpresas/CompraMaestra</t>
  </si>
  <si>
    <t>CréditosaMicroempresas/TradicionalM.S/.</t>
  </si>
  <si>
    <t>CréditosdeConsumonorevolventes/TradicionalM.S/.</t>
  </si>
  <si>
    <t>CréditosaMicroempresas/Tradicional3era.M.</t>
  </si>
  <si>
    <t>CréditosdeConsumonorevolventes/CompraMaestra</t>
  </si>
  <si>
    <t>CréditosaPeque?asEmpresas/Tradicional3era.M.</t>
  </si>
  <si>
    <t>CréditosaPeque?asEmpresas/CreditoSimpleS/.</t>
  </si>
  <si>
    <t>CréditosdeConsumonorevolventes/CreditoSimpleS/.</t>
  </si>
  <si>
    <t>CréditosaMicroempresas/Restructuracuotaballoon</t>
  </si>
  <si>
    <t>CréditosdeConsumonorevolventes/RefinanciadosTrad.</t>
  </si>
  <si>
    <t>CréditosaPeque?asEmpresas/Restructuracuotaballoon</t>
  </si>
  <si>
    <t>CréditosdeConsumonorevolventes/Restructuracuotaballoon</t>
  </si>
  <si>
    <t>CréditosaPeque?asEmpresas/RefinanciadosTrad.</t>
  </si>
  <si>
    <t>CréditosdeConsumonorevolventes/RefinanciadosC.M.</t>
  </si>
  <si>
    <t>CréditosdeConsumonorevolventes/Plan50/50-12M.S/.</t>
  </si>
  <si>
    <t>CréditosaPeque?asEmpresas/PlanSelect</t>
  </si>
  <si>
    <t>CréditosdeConsumonorevolventes/PlanSelect</t>
  </si>
  <si>
    <t>CréditosaMedianasEmpresas/TradicionalM.S/.</t>
  </si>
  <si>
    <t>CréditosaMicroempresas/PlanSelect</t>
  </si>
  <si>
    <t>CréditosaMedianasEmpresas/Comercial-FondoCrecer</t>
  </si>
  <si>
    <t>CréditosaPeque?asEmpresas/Comercial-FondoCrecer</t>
  </si>
  <si>
    <t>CréditosdeConsumonorevolventes/PlanPersonal</t>
  </si>
  <si>
    <t>CréditosaMicroempresas/PlanPersonal</t>
  </si>
  <si>
    <t>CréditosaPeque?asEmpresas/PlanPersonal</t>
  </si>
  <si>
    <t>CréditosaMicroempresas/RefinanciadosTrad.</t>
  </si>
  <si>
    <t>CréditosdeConsumonorevolventes/Tradicional3era.M.</t>
  </si>
  <si>
    <t>CréditosaPeque?asEmpresas/RefinanciadosC.M.</t>
  </si>
  <si>
    <t>CréditosdeConsumonorevolventes/PlanConversiónS/.</t>
  </si>
  <si>
    <t>CréditosaMicroempresas/CreditoSimpleS/.</t>
  </si>
  <si>
    <t>CréditosaMicroempresas/PlanConversiónS/.</t>
  </si>
  <si>
    <t>CréditosaPeque?asEmpresas/PlanConversiónS/.</t>
  </si>
  <si>
    <t>CréditosaMicroempresas/RefinanciadosC.M.</t>
  </si>
  <si>
    <t>CréditosaMedianasEmpresas/Tradicional3era.M.</t>
  </si>
  <si>
    <t>CréditosaMedianasEmpresas/PlanSelect</t>
  </si>
  <si>
    <t>CréditosaMedianasEmpresas/CompraMaestra</t>
  </si>
  <si>
    <t>CréditosaPeque?asEmpresas/Plan40Express</t>
  </si>
  <si>
    <t>CréditosdeConsumonorevolventes/Plan40Express</t>
  </si>
  <si>
    <t>CréditosdeConsumonorevolventes/PlanSelect_CompraMaestra</t>
  </si>
  <si>
    <t>CréditosaPeque?asEmpresas/Plan50/50-12M.S/.</t>
  </si>
  <si>
    <t>CréditosaMedianasEmpresas/PlanConversiónS/.</t>
  </si>
  <si>
    <t>CréditosaPeque?asEmpresas/PlanSelect_CompraMaestra</t>
  </si>
  <si>
    <t>CréditosaMicroempresas/Plan40Express</t>
  </si>
  <si>
    <t>CréditosaPeque?asEmpresas/Emprendedor</t>
  </si>
  <si>
    <t>CréditosdeConsumonorevolventes/EmpleadoSCPTradicional</t>
  </si>
  <si>
    <t>CréditosaMedianasEmpresas/PlanSelect_CompraMaestra</t>
  </si>
  <si>
    <t>CréditosdeConsumonorevolventes/RearmadoCuotaFijaTrad.</t>
  </si>
  <si>
    <t>CréditosaMedianasEmpresas/Plan50/50-12M.S/.</t>
  </si>
  <si>
    <t>CréditosdeConsumonorevolventes/CompraMaestra_paperless</t>
  </si>
  <si>
    <t>CréditosdeConsumonorevolventes/PlanSelect_Paperless</t>
  </si>
  <si>
    <t>CréditosaPeque?asEmpresas/Tradicional_PaperlessS/.</t>
  </si>
  <si>
    <t>CréditosaPeque?asEmpresas/PlanSelect_Paperless</t>
  </si>
  <si>
    <t>CréditosdeConsumonorevolventes/Tradicional_PaperlessS/.</t>
  </si>
  <si>
    <t>CréditosdeConsumonorevolventes/Emprendedor</t>
  </si>
  <si>
    <t>CréditosdeConsumonorevolventes/RearmadoCuotaFijaCM</t>
  </si>
  <si>
    <t>CréditosdeConsumonorevolventes/PlanConversión_Paperless</t>
  </si>
  <si>
    <t>CréditosaPeque?asEmpresas/CompraMaestra_paperless</t>
  </si>
  <si>
    <t>CréditosaMicroempresas/Emprendedor</t>
  </si>
  <si>
    <t>CréditosdeConsumonorevolventes/CreditoSimple$Paperless</t>
  </si>
  <si>
    <t>CréditosaMicroempresas/CompraMaestra_paperless</t>
  </si>
  <si>
    <t>CréditosdeConsumonorevolventes/Seminuevos</t>
  </si>
  <si>
    <t>CréditosdeConsumonorevolventes/RearmadoCuotaFija50/50</t>
  </si>
  <si>
    <t>CréditosaPeque?asEmpresas/CreditoSimple$Paperless</t>
  </si>
  <si>
    <t>CréditosdeConsumonorevolventes/CuotaFlexS/.</t>
  </si>
  <si>
    <t>CréditosaMicroempresas/PlanConversión_Paperless</t>
  </si>
  <si>
    <t>CréditosaMicroempresas/Plan50/50-12M.S/.</t>
  </si>
  <si>
    <t>CréditosaMicroempresas/Tradicional_PaperlessS/.</t>
  </si>
  <si>
    <t>CréditosaPeque?asEmpresas/CuotaFlexS/.</t>
  </si>
  <si>
    <t>CréditosdeConsumonorevolventes/Black_Tradicional$</t>
  </si>
  <si>
    <t>CréditosdeConsumonorevolventes/Black_C.Simple_Paperless$</t>
  </si>
  <si>
    <t>CréditosdeConsumonorevolventes/Black_Plan50/50_12M$</t>
  </si>
  <si>
    <t>CréditosaMicroempresas/CuotaFlexS/.</t>
  </si>
  <si>
    <t>CréditosdeConsumonorevolventes/Black_CreditoSimple$</t>
  </si>
  <si>
    <t>CréditosdeConsumonorevolventes/Black_CompraMaestra$</t>
  </si>
  <si>
    <t>CréditosdeConsumonorevolventes/CuotaFlex_Paperless-$</t>
  </si>
  <si>
    <t>CréditosaPeque?asEmpresas/Black_Tradicional$</t>
  </si>
  <si>
    <t>CréditosaPeque?asEmpresas/CuotaFlex_Paperless-$</t>
  </si>
  <si>
    <t>CréditosaMedianasEmpresas/CuotaFlexS/.</t>
  </si>
  <si>
    <t>CréditosaMedianasEmpresas/CreditoSimpleS/.</t>
  </si>
  <si>
    <t>CréditosdeConsumonorevolventes/Plan50/50_9M$</t>
  </si>
  <si>
    <t>CréditosaMicroempresas/CreditoSimple$Paperless</t>
  </si>
  <si>
    <t>CréditosdeConsumonorevolventes/Plan50/50_9M_Paperless$</t>
  </si>
  <si>
    <t>CréditosaMicroempresas/Plan50/50_9M$</t>
  </si>
  <si>
    <t>CréditosaMicroempresas/Cabify_TradicionalS/</t>
  </si>
  <si>
    <t>CréditosdeConsumonorevolventes/Black_50/50_12M_Paperless$</t>
  </si>
  <si>
    <t>CréditosaMicroempresas/CuotaFlex_Paperless-$</t>
  </si>
  <si>
    <t>CréditosdeConsumonorevolventes/Tradicional_AprobadoS/</t>
  </si>
  <si>
    <t>CréditosdeConsumonorevolventes/Plan50/50_12M_AprobadoS/.</t>
  </si>
  <si>
    <t>CréditosdeConsumonorevolventes/Tradicional_Aprobado$</t>
  </si>
  <si>
    <t>CréditosaMicroempresas/Tradicional_Aprobado$</t>
  </si>
  <si>
    <t>CréditosaMicroempresas/Plan50/50_12M_AprobadoS/.</t>
  </si>
  <si>
    <t>CréditosaMicroempresas/Black_Tradicional$</t>
  </si>
  <si>
    <t>CréditosaMedianasEmpresas/RefinanciadosTrad.</t>
  </si>
  <si>
    <t>CréditosaMedianasEmpresas/RefinanciadosC.M.</t>
  </si>
  <si>
    <t>CréditosaGrandesEmpresas/Plan50/50-12M.S/.</t>
  </si>
  <si>
    <t>CréditosaGrandesEmpresas/TradicionalM.S/.</t>
  </si>
  <si>
    <t>CréditosaPeque?asEmpresas/Plan50/50_9M$</t>
  </si>
  <si>
    <t>CréditosaGrandesEmpresas/CompraMaestra</t>
  </si>
  <si>
    <t>S/TIPO/Plan50/50-12M.S/.</t>
  </si>
  <si>
    <t>CréditosaMicroempresas/PRESTAMOSVEHICULARES</t>
  </si>
  <si>
    <t>S/TIPO/TradicionalM.S/.</t>
  </si>
  <si>
    <t>CréditosaGrandesEmpresas/Tradicional_PaperlessS/.</t>
  </si>
  <si>
    <t>CréditosaGrandesEmpresas/CuotaFlexS/.</t>
  </si>
  <si>
    <t>CréditosdeConsumonorevolventes/Tradicional_AprobadoS/.</t>
  </si>
  <si>
    <t>CréditosaMicroempresas/Tradicional_AprobadoS/.</t>
  </si>
  <si>
    <t>CréditosdeConsumonorevolventes/50/50_12M_Paperless_Agil$</t>
  </si>
  <si>
    <t>CréditosaMicroempresas/50/50_12M_Paperless_Agil$</t>
  </si>
  <si>
    <t>CréditosdeConsumonorevolventes/C.Simple_Paperless_Agil$</t>
  </si>
  <si>
    <t>CréditosdeConsumonorevolventes/CuotaFlex_Paperless_Agil$</t>
  </si>
  <si>
    <t>CréditosdeConsumonorevolventes/P.Convers_Paperless_Agil$</t>
  </si>
  <si>
    <t>CréditosdeConsumonorevolventes/C.Maestra_Paperless_Agil$</t>
  </si>
  <si>
    <t>CréditosaMicroempresas/CuotaFlex_Paperless_Agil$</t>
  </si>
  <si>
    <t>CréditosdeConsumonorevolventes/50/50C.Tasa_12M_PLS_Agil$</t>
  </si>
  <si>
    <t>CréditosaGrandesEmpresas/Black_Tradicional$</t>
  </si>
  <si>
    <t>CréditosaGrandesEmpresas/Plan40Express</t>
  </si>
  <si>
    <t>CréditosaMicroempresas/Black_Plan50/50_12M$</t>
  </si>
  <si>
    <t>S/TIPO/CompraMaestra</t>
  </si>
  <si>
    <t>CréditosaMicroempresas/C.Simple_Paperless_Agil$</t>
  </si>
  <si>
    <t>CréditosdeConsumonorevolventes/50/50C.Tasa_12M$</t>
  </si>
  <si>
    <t>S/TIPO/Restructuracuotaballoon</t>
  </si>
  <si>
    <t>S/TIPO/RefinanciadosTrad.</t>
  </si>
  <si>
    <t>Casatoro Peru S.A.C.</t>
  </si>
  <si>
    <t>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</si>
</sst>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rial Narrow"/>
      <family val="2"/>
    </font>
    <font>
      <b/>
      <sz val="11"/>
      <color rgb="FFFF0000"/>
      <name val="Arial Narrow"/>
      <family val="2"/>
    </font>
    <font>
      <b/>
      <sz val="9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rgb="FFFFFFFF"/>
      <name val="Tahoma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rial Narrow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lightDown"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2"/>
        <bgColor rgb="FFFF000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theme="4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" fillId="0" borderId="0"/>
  </cellStyleXfs>
  <cellXfs count="74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  <xf numFmtId="0" fontId="8" fillId="0" borderId="0" xfId="0" applyFont="1"/>
    <xf numFmtId="0" fontId="10" fillId="5" borderId="2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6" fillId="0" borderId="1" xfId="0" applyFont="1" applyBorder="1" applyAlignment="1">
      <alignment vertical="top" readingOrder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8" fillId="0" borderId="0" xfId="0" applyFont="1" applyAlignment="1">
      <alignment horizontal="center"/>
    </xf>
    <xf numFmtId="0" fontId="18" fillId="0" borderId="0" xfId="0" applyFont="1"/>
    <xf numFmtId="0" fontId="19" fillId="7" borderId="0" xfId="0" applyFont="1" applyFill="1" applyAlignment="1">
      <alignment horizontal="center"/>
    </xf>
    <xf numFmtId="1" fontId="20" fillId="7" borderId="1" xfId="0" applyNumberFormat="1" applyFont="1" applyFill="1" applyBorder="1" applyAlignment="1">
      <alignment horizontal="center"/>
    </xf>
    <xf numFmtId="9" fontId="20" fillId="7" borderId="1" xfId="0" applyNumberFormat="1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2" fontId="20" fillId="7" borderId="0" xfId="0" applyNumberFormat="1" applyFont="1" applyFill="1" applyAlignment="1">
      <alignment horizontal="center"/>
    </xf>
    <xf numFmtId="9" fontId="20" fillId="0" borderId="0" xfId="1" applyFont="1" applyAlignment="1">
      <alignment horizontal="center"/>
    </xf>
    <xf numFmtId="0" fontId="18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 vertical="center" wrapText="1" readingOrder="1"/>
    </xf>
    <xf numFmtId="0" fontId="22" fillId="8" borderId="1" xfId="0" applyFont="1" applyFill="1" applyBorder="1" applyAlignment="1">
      <alignment horizontal="center" vertical="center" wrapText="1" readingOrder="1"/>
    </xf>
    <xf numFmtId="0" fontId="22" fillId="9" borderId="1" xfId="0" applyFont="1" applyFill="1" applyBorder="1" applyAlignment="1">
      <alignment horizontal="center" vertical="center" wrapText="1" readingOrder="1"/>
    </xf>
    <xf numFmtId="0" fontId="23" fillId="0" borderId="1" xfId="0" applyFont="1" applyBorder="1" applyAlignment="1">
      <alignment vertical="top" readingOrder="1"/>
    </xf>
    <xf numFmtId="0" fontId="24" fillId="0" borderId="1" xfId="0" applyFont="1" applyBorder="1" applyAlignment="1">
      <alignment vertical="top" readingOrder="1"/>
    </xf>
    <xf numFmtId="2" fontId="25" fillId="0" borderId="1" xfId="0" applyNumberFormat="1" applyFont="1" applyBorder="1" applyAlignment="1">
      <alignment horizontal="center" vertical="top" readingOrder="1"/>
    </xf>
    <xf numFmtId="1" fontId="25" fillId="0" borderId="1" xfId="0" applyNumberFormat="1" applyFont="1" applyBorder="1" applyAlignment="1">
      <alignment horizontal="center" vertical="top" readingOrder="1"/>
    </xf>
    <xf numFmtId="0" fontId="23" fillId="10" borderId="1" xfId="0" applyFont="1" applyFill="1" applyBorder="1" applyAlignment="1">
      <alignment horizontal="center" vertical="top" readingOrder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9" fontId="8" fillId="0" borderId="0" xfId="1" applyFont="1" applyAlignment="1">
      <alignment horizontal="center"/>
    </xf>
    <xf numFmtId="9" fontId="8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0" fontId="23" fillId="0" borderId="1" xfId="0" quotePrefix="1" applyFont="1" applyBorder="1" applyAlignment="1">
      <alignment vertical="top" readingOrder="1"/>
    </xf>
    <xf numFmtId="0" fontId="26" fillId="0" borderId="1" xfId="0" applyFont="1" applyBorder="1" applyAlignment="1">
      <alignment vertical="top" readingOrder="1"/>
    </xf>
    <xf numFmtId="0" fontId="23" fillId="0" borderId="1" xfId="0" applyFont="1" applyBorder="1" applyAlignment="1">
      <alignment horizontal="left" vertical="top" readingOrder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top" readingOrder="1"/>
    </xf>
    <xf numFmtId="0" fontId="26" fillId="0" borderId="2" xfId="0" applyFont="1" applyBorder="1" applyAlignment="1">
      <alignment vertical="top" readingOrder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top" readingOrder="1"/>
    </xf>
    <xf numFmtId="0" fontId="0" fillId="0" borderId="1" xfId="0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27" fillId="0" borderId="4" xfId="0" applyFont="1" applyBorder="1"/>
    <xf numFmtId="0" fontId="0" fillId="0" borderId="4" xfId="0" applyBorder="1" applyAlignment="1">
      <alignment horizontal="center"/>
    </xf>
    <xf numFmtId="0" fontId="27" fillId="0" borderId="4" xfId="0" applyFont="1" applyBorder="1" applyAlignment="1">
      <alignment horizont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/>
    <xf numFmtId="0" fontId="23" fillId="0" borderId="2" xfId="0" applyFont="1" applyBorder="1" applyAlignment="1">
      <alignment horizontal="center" vertical="top" readingOrder="1"/>
    </xf>
    <xf numFmtId="0" fontId="26" fillId="0" borderId="2" xfId="0" applyFont="1" applyBorder="1" applyAlignment="1">
      <alignment horizontal="center" vertical="top" readingOrder="1"/>
    </xf>
    <xf numFmtId="0" fontId="26" fillId="0" borderId="3" xfId="0" applyFont="1" applyBorder="1" applyAlignment="1">
      <alignment horizontal="center" vertical="top" readingOrder="1"/>
    </xf>
    <xf numFmtId="0" fontId="0" fillId="0" borderId="1" xfId="0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3 3" xfId="2" xr:uid="{2A59086E-959A-4556-A0F8-8AE10D0A78E5}"/>
    <cellStyle name="Normal 7" xfId="3" xr:uid="{8CE04BB7-0FE4-4941-9A10-4EEFB9231FCF}"/>
    <cellStyle name="Porcentaje" xfId="1" builtinId="5"/>
  </cellStyles>
  <dxfs count="7">
    <dxf>
      <fill>
        <patternFill>
          <bgColor rgb="FFFFFFCC"/>
        </patternFill>
      </fill>
    </dxf>
    <dxf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ustomXml" Target="../customXml/item3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theme" Target="theme/theme1.xml" /><Relationship Id="rId28" Type="http://schemas.openxmlformats.org/officeDocument/2006/relationships/customXml" Target="../customXml/item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externalLink" Target="externalLinks/externalLink1.xml" /><Relationship Id="rId27" Type="http://schemas.openxmlformats.org/officeDocument/2006/relationships/customXml" Target="../customXml/item1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eaguilar/Downloads/Generaci&#243;n%20Scoring%20CRA%20202605%20MET.ACT%20(1).xlsx" TargetMode="External" /><Relationship Id="rId1" Type="http://schemas.openxmlformats.org/officeDocument/2006/relationships/externalLinkPath" Target="file:///C:/Users/eaguilar/Downloads/Generaci&#243;n%20Scoring%20CRA%20202605%20MET.ACT%20(1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RR PREV"/>
      <sheetName val="Hoja1"/>
      <sheetName val="Pivot PN"/>
      <sheetName val="Hoja2"/>
      <sheetName val="Pivot PJ"/>
      <sheetName val="PN"/>
      <sheetName val="PJ"/>
      <sheetName val="PEP"/>
      <sheetName val="PLA"/>
      <sheetName val="Sociedad"/>
      <sheetName val="Paises"/>
      <sheetName val="Producto"/>
      <sheetName val="Canal"/>
      <sheetName val="Categoría"/>
      <sheetName val="Regiones"/>
      <sheetName val="Act"/>
      <sheetName val="Prof"/>
      <sheetName val="FILE PN"/>
      <sheetName val="FILE P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Descripción</v>
          </cell>
        </row>
        <row r="5">
          <cell r="B5" t="str">
            <v>Amazonas</v>
          </cell>
          <cell r="G5" t="str">
            <v>Medium</v>
          </cell>
        </row>
        <row r="6">
          <cell r="B6" t="str">
            <v>Ancash</v>
          </cell>
          <cell r="G6" t="str">
            <v>Medium</v>
          </cell>
        </row>
        <row r="7">
          <cell r="B7" t="str">
            <v>Apurimac</v>
          </cell>
          <cell r="G7" t="str">
            <v>Medium</v>
          </cell>
        </row>
        <row r="8">
          <cell r="B8" t="str">
            <v>Arequipa</v>
          </cell>
          <cell r="G8" t="str">
            <v>High</v>
          </cell>
        </row>
        <row r="9">
          <cell r="B9" t="str">
            <v>Ayacucho</v>
          </cell>
          <cell r="G9" t="str">
            <v>High</v>
          </cell>
        </row>
        <row r="10">
          <cell r="B10" t="str">
            <v>Cajamarca</v>
          </cell>
          <cell r="G10" t="str">
            <v>Low</v>
          </cell>
        </row>
        <row r="11">
          <cell r="B11" t="str">
            <v>Callao</v>
          </cell>
          <cell r="G11" t="str">
            <v>High</v>
          </cell>
        </row>
        <row r="12">
          <cell r="B12" t="str">
            <v>Cusco</v>
          </cell>
          <cell r="G12" t="str">
            <v>High</v>
          </cell>
        </row>
        <row r="13">
          <cell r="B13" t="str">
            <v>Huancavelica</v>
          </cell>
          <cell r="G13" t="str">
            <v>Medium</v>
          </cell>
        </row>
        <row r="14">
          <cell r="B14" t="str">
            <v>Huanuco</v>
          </cell>
          <cell r="G14" t="str">
            <v>Medium</v>
          </cell>
        </row>
        <row r="15">
          <cell r="B15" t="str">
            <v>Ica</v>
          </cell>
          <cell r="G15" t="str">
            <v>Low</v>
          </cell>
        </row>
        <row r="16">
          <cell r="B16" t="str">
            <v>Junin</v>
          </cell>
          <cell r="G16" t="str">
            <v>High</v>
          </cell>
        </row>
        <row r="17">
          <cell r="B17" t="str">
            <v>La Libertad</v>
          </cell>
          <cell r="G17" t="str">
            <v>High</v>
          </cell>
        </row>
        <row r="18">
          <cell r="B18" t="str">
            <v>Lambayeque</v>
          </cell>
          <cell r="G18" t="str">
            <v>Low</v>
          </cell>
        </row>
        <row r="19">
          <cell r="B19" t="str">
            <v>Lima</v>
          </cell>
          <cell r="G19" t="str">
            <v>High</v>
          </cell>
        </row>
        <row r="20">
          <cell r="B20" t="str">
            <v>Loreto</v>
          </cell>
          <cell r="G20" t="str">
            <v>Low</v>
          </cell>
        </row>
        <row r="21">
          <cell r="B21" t="str">
            <v>Madre de Dios</v>
          </cell>
          <cell r="G21" t="str">
            <v>High</v>
          </cell>
        </row>
        <row r="22">
          <cell r="B22" t="str">
            <v>Moquegua</v>
          </cell>
          <cell r="G22" t="str">
            <v>Medium</v>
          </cell>
        </row>
        <row r="23">
          <cell r="B23" t="str">
            <v>Pasco</v>
          </cell>
          <cell r="G23" t="str">
            <v>Low</v>
          </cell>
        </row>
        <row r="24">
          <cell r="B24" t="str">
            <v>Piura</v>
          </cell>
          <cell r="G24" t="str">
            <v>High</v>
          </cell>
        </row>
        <row r="25">
          <cell r="B25" t="str">
            <v>Puno</v>
          </cell>
          <cell r="G25" t="str">
            <v>High</v>
          </cell>
        </row>
        <row r="26">
          <cell r="B26" t="str">
            <v>San Martin</v>
          </cell>
          <cell r="G26" t="str">
            <v>Low</v>
          </cell>
        </row>
        <row r="27">
          <cell r="B27" t="str">
            <v>Tacna</v>
          </cell>
          <cell r="G27" t="str">
            <v>High</v>
          </cell>
        </row>
        <row r="28">
          <cell r="B28" t="str">
            <v>Tumbes</v>
          </cell>
          <cell r="G28" t="str">
            <v>Medium</v>
          </cell>
        </row>
        <row r="29">
          <cell r="B29" t="str">
            <v>Ucayali</v>
          </cell>
          <cell r="G29" t="str">
            <v>Low</v>
          </cell>
        </row>
        <row r="30">
          <cell r="B30" t="str">
            <v>Extranjero</v>
          </cell>
          <cell r="G30" t="str">
            <v>High</v>
          </cell>
        </row>
        <row r="31">
          <cell r="B31" t="str">
            <v>Chiclayo</v>
          </cell>
          <cell r="G31" t="str">
            <v>Low</v>
          </cell>
        </row>
      </sheetData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2968-DDB4-429C-8847-EDED9C1C026B}">
  <dimension ref="A1:A38"/>
  <sheetViews>
    <sheetView topLeftCell="A9" workbookViewId="0">
      <selection activeCell="A6" sqref="A6"/>
    </sheetView>
  </sheetViews>
  <sheetFormatPr defaultColWidth="10.76171875" defaultRowHeight="15" x14ac:dyDescent="0.2"/>
  <cols>
    <col min="1" max="1" width="41.69921875" customWidth="1"/>
  </cols>
  <sheetData>
    <row r="1" spans="1:1" x14ac:dyDescent="0.2">
      <c r="A1" s="72" t="s">
        <v>1668</v>
      </c>
    </row>
    <row r="2" spans="1:1" x14ac:dyDescent="0.2">
      <c r="A2" s="72" t="s">
        <v>1667</v>
      </c>
    </row>
    <row r="3" spans="1:1" x14ac:dyDescent="0.2">
      <c r="A3" s="72" t="s">
        <v>1658</v>
      </c>
    </row>
    <row r="4" spans="1:1" x14ac:dyDescent="0.2">
      <c r="A4" s="72" t="s">
        <v>1150</v>
      </c>
    </row>
    <row r="5" spans="1:1" x14ac:dyDescent="0.2">
      <c r="A5" s="72" t="s">
        <v>1147</v>
      </c>
    </row>
    <row r="6" spans="1:1" x14ac:dyDescent="0.2">
      <c r="A6" s="72" t="s">
        <v>1203</v>
      </c>
    </row>
    <row r="7" spans="1:1" x14ac:dyDescent="0.2">
      <c r="A7" s="72" t="s">
        <v>1652</v>
      </c>
    </row>
    <row r="8" spans="1:1" x14ac:dyDescent="0.2">
      <c r="A8" s="72" t="s">
        <v>1124</v>
      </c>
    </row>
    <row r="9" spans="1:1" x14ac:dyDescent="0.2">
      <c r="A9" s="72" t="s">
        <v>1153</v>
      </c>
    </row>
    <row r="10" spans="1:1" x14ac:dyDescent="0.2">
      <c r="A10" s="72" t="s">
        <v>1125</v>
      </c>
    </row>
    <row r="11" spans="1:1" x14ac:dyDescent="0.2">
      <c r="A11" s="72" t="s">
        <v>1659</v>
      </c>
    </row>
    <row r="12" spans="1:1" x14ac:dyDescent="0.2">
      <c r="A12" s="72" t="s">
        <v>1129</v>
      </c>
    </row>
    <row r="13" spans="1:1" x14ac:dyDescent="0.2">
      <c r="A13" s="72" t="s">
        <v>1130</v>
      </c>
    </row>
    <row r="14" spans="1:1" x14ac:dyDescent="0.2">
      <c r="A14" s="72" t="s">
        <v>1204</v>
      </c>
    </row>
    <row r="15" spans="1:1" x14ac:dyDescent="0.2">
      <c r="A15" s="72" t="s">
        <v>1131</v>
      </c>
    </row>
    <row r="16" spans="1:1" x14ac:dyDescent="0.2">
      <c r="A16" s="72" t="s">
        <v>1574</v>
      </c>
    </row>
    <row r="17" spans="1:1" x14ac:dyDescent="0.2">
      <c r="A17" s="72" t="s">
        <v>1132</v>
      </c>
    </row>
    <row r="18" spans="1:1" x14ac:dyDescent="0.2">
      <c r="A18" s="72" t="s">
        <v>1136</v>
      </c>
    </row>
    <row r="19" spans="1:1" x14ac:dyDescent="0.2">
      <c r="A19" s="72" t="s">
        <v>1660</v>
      </c>
    </row>
    <row r="20" spans="1:1" x14ac:dyDescent="0.2">
      <c r="A20" s="72" t="s">
        <v>1135</v>
      </c>
    </row>
    <row r="21" spans="1:1" x14ac:dyDescent="0.2">
      <c r="A21" s="72" t="s">
        <v>1669</v>
      </c>
    </row>
    <row r="22" spans="1:1" x14ac:dyDescent="0.2">
      <c r="A22" s="72" t="s">
        <v>1145</v>
      </c>
    </row>
    <row r="23" spans="1:1" x14ac:dyDescent="0.2">
      <c r="A23" s="72" t="s">
        <v>1661</v>
      </c>
    </row>
    <row r="24" spans="1:1" x14ac:dyDescent="0.2">
      <c r="A24" s="72" t="s">
        <v>1134</v>
      </c>
    </row>
    <row r="25" spans="1:1" x14ac:dyDescent="0.2">
      <c r="A25" s="72" t="s">
        <v>1662</v>
      </c>
    </row>
    <row r="26" spans="1:1" x14ac:dyDescent="0.2">
      <c r="A26" s="72" t="s">
        <v>1137</v>
      </c>
    </row>
    <row r="27" spans="1:1" x14ac:dyDescent="0.2">
      <c r="A27" s="72" t="s">
        <v>1139</v>
      </c>
    </row>
    <row r="28" spans="1:1" x14ac:dyDescent="0.2">
      <c r="A28" s="72" t="s">
        <v>1642</v>
      </c>
    </row>
    <row r="29" spans="1:1" x14ac:dyDescent="0.2">
      <c r="A29" s="72" t="s">
        <v>1146</v>
      </c>
    </row>
    <row r="30" spans="1:1" x14ac:dyDescent="0.2">
      <c r="A30" s="72" t="s">
        <v>1627</v>
      </c>
    </row>
    <row r="31" spans="1:1" x14ac:dyDescent="0.2">
      <c r="A31" s="72" t="s">
        <v>1624</v>
      </c>
    </row>
    <row r="32" spans="1:1" x14ac:dyDescent="0.2">
      <c r="A32" s="72" t="s">
        <v>1663</v>
      </c>
    </row>
    <row r="33" spans="1:1" x14ac:dyDescent="0.2">
      <c r="A33" s="72" t="s">
        <v>1142</v>
      </c>
    </row>
    <row r="34" spans="1:1" x14ac:dyDescent="0.2">
      <c r="A34" s="72" t="s">
        <v>1664</v>
      </c>
    </row>
    <row r="35" spans="1:1" x14ac:dyDescent="0.2">
      <c r="A35" s="72" t="s">
        <v>1143</v>
      </c>
    </row>
    <row r="36" spans="1:1" x14ac:dyDescent="0.2">
      <c r="A36" s="72" t="s">
        <v>1665</v>
      </c>
    </row>
    <row r="37" spans="1:1" x14ac:dyDescent="0.2">
      <c r="A37" s="72" t="s">
        <v>1144</v>
      </c>
    </row>
    <row r="38" spans="1:1" x14ac:dyDescent="0.2">
      <c r="A38" s="72" t="s">
        <v>1666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0EC4-A4C9-4B12-BD12-9DF219DEFB45}">
  <dimension ref="A1:H38"/>
  <sheetViews>
    <sheetView zoomScale="55" zoomScaleNormal="55" workbookViewId="0">
      <selection activeCell="H35" sqref="H35"/>
    </sheetView>
  </sheetViews>
  <sheetFormatPr defaultColWidth="10.76171875" defaultRowHeight="15" x14ac:dyDescent="0.2"/>
  <cols>
    <col min="2" max="2" width="18.83203125" customWidth="1"/>
    <col min="3" max="3" width="12.77734375" bestFit="1" customWidth="1"/>
    <col min="4" max="4" width="25.2890625" bestFit="1" customWidth="1"/>
    <col min="8" max="8" width="19.7734375" customWidth="1"/>
  </cols>
  <sheetData>
    <row r="1" spans="1:8" x14ac:dyDescent="0.2">
      <c r="A1" s="47" t="s">
        <v>1116</v>
      </c>
      <c r="B1" s="47" t="s">
        <v>1117</v>
      </c>
      <c r="C1" s="47" t="s">
        <v>1118</v>
      </c>
      <c r="D1" s="47" t="s">
        <v>1119</v>
      </c>
      <c r="E1" s="47" t="s">
        <v>1120</v>
      </c>
      <c r="F1" s="47" t="s">
        <v>1121</v>
      </c>
    </row>
    <row r="2" spans="1:8" x14ac:dyDescent="0.2">
      <c r="A2" s="48" t="s">
        <v>178</v>
      </c>
      <c r="B2" s="48" t="s">
        <v>1122</v>
      </c>
      <c r="C2" s="62">
        <v>0.6</v>
      </c>
      <c r="D2" s="48" t="s">
        <v>1147</v>
      </c>
      <c r="E2" s="62">
        <v>0.01</v>
      </c>
      <c r="F2" s="62">
        <f>C2*E2</f>
        <v>6.0000000000000001E-3</v>
      </c>
      <c r="H2" s="50"/>
    </row>
    <row r="3" spans="1:8" x14ac:dyDescent="0.2">
      <c r="A3" s="48" t="s">
        <v>178</v>
      </c>
      <c r="B3" s="48" t="s">
        <v>1122</v>
      </c>
      <c r="C3" s="62">
        <v>0.6</v>
      </c>
      <c r="D3" s="48" t="s">
        <v>1123</v>
      </c>
      <c r="E3" s="62">
        <v>0.04</v>
      </c>
      <c r="F3" s="62">
        <f t="shared" ref="F3:F38" si="0">C3*E3</f>
        <v>2.4E-2</v>
      </c>
      <c r="H3" s="50"/>
    </row>
    <row r="4" spans="1:8" x14ac:dyDescent="0.2">
      <c r="A4" s="48" t="s">
        <v>178</v>
      </c>
      <c r="B4" s="48" t="s">
        <v>1122</v>
      </c>
      <c r="C4" s="62">
        <v>0.6</v>
      </c>
      <c r="D4" s="48" t="s">
        <v>1124</v>
      </c>
      <c r="E4" s="62">
        <v>0.09</v>
      </c>
      <c r="F4" s="62">
        <f t="shared" si="0"/>
        <v>5.3999999999999999E-2</v>
      </c>
      <c r="H4" s="50"/>
    </row>
    <row r="5" spans="1:8" x14ac:dyDescent="0.2">
      <c r="A5" s="48" t="s">
        <v>178</v>
      </c>
      <c r="B5" s="48" t="s">
        <v>1122</v>
      </c>
      <c r="C5" s="62">
        <v>0.6</v>
      </c>
      <c r="D5" s="48" t="s">
        <v>1125</v>
      </c>
      <c r="E5" s="62">
        <v>0.09</v>
      </c>
      <c r="F5" s="62">
        <f t="shared" si="0"/>
        <v>5.3999999999999999E-2</v>
      </c>
      <c r="H5" s="50"/>
    </row>
    <row r="6" spans="1:8" x14ac:dyDescent="0.2">
      <c r="A6" s="48" t="s">
        <v>178</v>
      </c>
      <c r="B6" s="48" t="s">
        <v>1122</v>
      </c>
      <c r="C6" s="62">
        <v>0.6</v>
      </c>
      <c r="D6" s="48" t="s">
        <v>1126</v>
      </c>
      <c r="E6" s="62">
        <v>0.05</v>
      </c>
      <c r="F6" s="62">
        <f t="shared" si="0"/>
        <v>0.03</v>
      </c>
      <c r="H6" s="50"/>
    </row>
    <row r="7" spans="1:8" x14ac:dyDescent="0.2">
      <c r="A7" s="48" t="s">
        <v>178</v>
      </c>
      <c r="B7" s="48" t="s">
        <v>1122</v>
      </c>
      <c r="C7" s="62">
        <v>0.6</v>
      </c>
      <c r="D7" s="48" t="s">
        <v>1127</v>
      </c>
      <c r="E7" s="62">
        <v>0.18</v>
      </c>
      <c r="F7" s="62">
        <f t="shared" si="0"/>
        <v>0.108</v>
      </c>
      <c r="H7" s="50"/>
    </row>
    <row r="8" spans="1:8" x14ac:dyDescent="0.2">
      <c r="A8" s="48" t="s">
        <v>178</v>
      </c>
      <c r="B8" s="48" t="s">
        <v>1122</v>
      </c>
      <c r="C8" s="62">
        <v>0.6</v>
      </c>
      <c r="D8" s="48" t="s">
        <v>1203</v>
      </c>
      <c r="E8" s="62">
        <v>0.54</v>
      </c>
      <c r="F8" s="62">
        <f t="shared" si="0"/>
        <v>0.32400000000000001</v>
      </c>
    </row>
    <row r="9" spans="1:8" x14ac:dyDescent="0.2">
      <c r="A9" s="48" t="s">
        <v>178</v>
      </c>
      <c r="B9" s="48" t="s">
        <v>1128</v>
      </c>
      <c r="C9" s="62">
        <v>0.25</v>
      </c>
      <c r="D9" s="48" t="s">
        <v>1129</v>
      </c>
      <c r="E9" s="62">
        <v>0.1</v>
      </c>
      <c r="F9" s="62">
        <f t="shared" si="0"/>
        <v>2.5000000000000001E-2</v>
      </c>
      <c r="H9" s="50"/>
    </row>
    <row r="10" spans="1:8" x14ac:dyDescent="0.2">
      <c r="A10" s="48" t="s">
        <v>178</v>
      </c>
      <c r="B10" s="48" t="s">
        <v>1128</v>
      </c>
      <c r="C10" s="62">
        <v>0.25</v>
      </c>
      <c r="D10" s="48" t="s">
        <v>1130</v>
      </c>
      <c r="E10" s="62">
        <v>0.2</v>
      </c>
      <c r="F10" s="62">
        <f t="shared" si="0"/>
        <v>0.05</v>
      </c>
      <c r="H10" s="50"/>
    </row>
    <row r="11" spans="1:8" x14ac:dyDescent="0.2">
      <c r="A11" s="48" t="s">
        <v>178</v>
      </c>
      <c r="B11" s="48" t="s">
        <v>1128</v>
      </c>
      <c r="C11" s="62">
        <v>0.25</v>
      </c>
      <c r="D11" s="48" t="s">
        <v>1131</v>
      </c>
      <c r="E11" s="62">
        <v>0.15</v>
      </c>
      <c r="F11" s="62">
        <f t="shared" si="0"/>
        <v>3.7499999999999999E-2</v>
      </c>
      <c r="H11" s="50"/>
    </row>
    <row r="12" spans="1:8" x14ac:dyDescent="0.2">
      <c r="A12" s="48" t="s">
        <v>178</v>
      </c>
      <c r="B12" s="48" t="s">
        <v>1128</v>
      </c>
      <c r="C12" s="62">
        <v>0.25</v>
      </c>
      <c r="D12" s="48" t="s">
        <v>1132</v>
      </c>
      <c r="E12" s="62">
        <v>0.55000000000000004</v>
      </c>
      <c r="F12" s="62">
        <f t="shared" si="0"/>
        <v>0.13750000000000001</v>
      </c>
    </row>
    <row r="13" spans="1:8" x14ac:dyDescent="0.2">
      <c r="A13" s="48" t="s">
        <v>178</v>
      </c>
      <c r="B13" s="48" t="s">
        <v>1133</v>
      </c>
      <c r="C13" s="62">
        <v>0.15</v>
      </c>
      <c r="D13" s="48" t="s">
        <v>1136</v>
      </c>
      <c r="E13" s="62">
        <v>0.2</v>
      </c>
      <c r="F13" s="62">
        <f t="shared" si="0"/>
        <v>0.03</v>
      </c>
      <c r="H13" s="50"/>
    </row>
    <row r="14" spans="1:8" x14ac:dyDescent="0.2">
      <c r="A14" s="48" t="s">
        <v>178</v>
      </c>
      <c r="B14" s="48" t="s">
        <v>1133</v>
      </c>
      <c r="C14" s="62">
        <v>0.15</v>
      </c>
      <c r="D14" s="48" t="s">
        <v>1145</v>
      </c>
      <c r="E14" s="62">
        <v>0.2</v>
      </c>
      <c r="F14" s="62">
        <f t="shared" si="0"/>
        <v>0.03</v>
      </c>
      <c r="H14" s="50"/>
    </row>
    <row r="15" spans="1:8" x14ac:dyDescent="0.2">
      <c r="A15" s="48" t="s">
        <v>178</v>
      </c>
      <c r="B15" s="48" t="s">
        <v>1133</v>
      </c>
      <c r="C15" s="62">
        <v>0.15</v>
      </c>
      <c r="D15" s="48" t="s">
        <v>1135</v>
      </c>
      <c r="E15" s="62">
        <v>0.25</v>
      </c>
      <c r="F15" s="62">
        <f t="shared" si="0"/>
        <v>3.7499999999999999E-2</v>
      </c>
      <c r="H15" s="50"/>
    </row>
    <row r="16" spans="1:8" x14ac:dyDescent="0.2">
      <c r="A16" s="48" t="s">
        <v>178</v>
      </c>
      <c r="B16" s="48" t="s">
        <v>1133</v>
      </c>
      <c r="C16" s="62">
        <v>0.15</v>
      </c>
      <c r="D16" s="48" t="s">
        <v>1134</v>
      </c>
      <c r="E16" s="62">
        <v>0.25</v>
      </c>
      <c r="F16" s="62">
        <f t="shared" si="0"/>
        <v>3.7499999999999999E-2</v>
      </c>
      <c r="H16" s="50"/>
    </row>
    <row r="17" spans="1:8" x14ac:dyDescent="0.2">
      <c r="A17" s="48" t="s">
        <v>178</v>
      </c>
      <c r="B17" s="48" t="s">
        <v>1133</v>
      </c>
      <c r="C17" s="62">
        <v>0.15</v>
      </c>
      <c r="D17" s="48" t="s">
        <v>1137</v>
      </c>
      <c r="E17" s="62">
        <v>0.1</v>
      </c>
      <c r="F17" s="62">
        <f t="shared" si="0"/>
        <v>1.4999999999999999E-2</v>
      </c>
      <c r="H17" s="50"/>
    </row>
    <row r="18" spans="1:8" x14ac:dyDescent="0.2">
      <c r="A18" s="48" t="s">
        <v>1138</v>
      </c>
      <c r="B18" s="48" t="s">
        <v>1122</v>
      </c>
      <c r="C18" s="62">
        <v>0.6</v>
      </c>
      <c r="D18" s="48" t="s">
        <v>1147</v>
      </c>
      <c r="E18" s="62">
        <v>0.01</v>
      </c>
      <c r="F18" s="62">
        <f t="shared" si="0"/>
        <v>6.0000000000000001E-3</v>
      </c>
    </row>
    <row r="19" spans="1:8" x14ac:dyDescent="0.2">
      <c r="A19" s="48" t="s">
        <v>1138</v>
      </c>
      <c r="B19" s="48" t="s">
        <v>1122</v>
      </c>
      <c r="C19" s="62">
        <v>0.6</v>
      </c>
      <c r="D19" s="48" t="s">
        <v>1123</v>
      </c>
      <c r="E19" s="62">
        <v>0.03</v>
      </c>
      <c r="F19" s="62">
        <f t="shared" si="0"/>
        <v>1.7999999999999999E-2</v>
      </c>
    </row>
    <row r="20" spans="1:8" x14ac:dyDescent="0.2">
      <c r="A20" s="48" t="s">
        <v>1138</v>
      </c>
      <c r="B20" s="48" t="s">
        <v>1122</v>
      </c>
      <c r="C20" s="62">
        <v>0.6</v>
      </c>
      <c r="D20" s="48" t="s">
        <v>1139</v>
      </c>
      <c r="E20" s="62">
        <v>0.06</v>
      </c>
      <c r="F20" s="62">
        <f t="shared" si="0"/>
        <v>3.5999999999999997E-2</v>
      </c>
    </row>
    <row r="21" spans="1:8" x14ac:dyDescent="0.2">
      <c r="A21" s="48" t="s">
        <v>1138</v>
      </c>
      <c r="B21" s="48" t="s">
        <v>1122</v>
      </c>
      <c r="C21" s="62">
        <v>0.6</v>
      </c>
      <c r="D21" s="48" t="s">
        <v>1146</v>
      </c>
      <c r="E21" s="62">
        <v>0.06</v>
      </c>
      <c r="F21" s="62">
        <f t="shared" si="0"/>
        <v>3.5999999999999997E-2</v>
      </c>
    </row>
    <row r="22" spans="1:8" x14ac:dyDescent="0.2">
      <c r="A22" s="48" t="s">
        <v>1138</v>
      </c>
      <c r="B22" s="48" t="s">
        <v>1122</v>
      </c>
      <c r="C22" s="62">
        <v>0.6</v>
      </c>
      <c r="D22" s="48" t="s">
        <v>1624</v>
      </c>
      <c r="E22" s="62">
        <v>7.0000000000000007E-2</v>
      </c>
      <c r="F22" s="62">
        <f t="shared" si="0"/>
        <v>4.2000000000000003E-2</v>
      </c>
    </row>
    <row r="23" spans="1:8" x14ac:dyDescent="0.2">
      <c r="A23" s="48" t="s">
        <v>1138</v>
      </c>
      <c r="B23" s="48" t="s">
        <v>1122</v>
      </c>
      <c r="C23" s="62">
        <v>0.6</v>
      </c>
      <c r="D23" s="48" t="s">
        <v>1125</v>
      </c>
      <c r="E23" s="62">
        <v>0.1</v>
      </c>
      <c r="F23" s="62">
        <f t="shared" si="0"/>
        <v>0.06</v>
      </c>
    </row>
    <row r="24" spans="1:8" x14ac:dyDescent="0.2">
      <c r="A24" s="48" t="s">
        <v>1138</v>
      </c>
      <c r="B24" s="48" t="s">
        <v>1122</v>
      </c>
      <c r="C24" s="62">
        <v>0.6</v>
      </c>
      <c r="D24" s="48" t="s">
        <v>1126</v>
      </c>
      <c r="E24" s="62">
        <v>0.04</v>
      </c>
      <c r="F24" s="62">
        <f t="shared" si="0"/>
        <v>2.4E-2</v>
      </c>
    </row>
    <row r="25" spans="1:8" x14ac:dyDescent="0.2">
      <c r="A25" s="48" t="s">
        <v>1138</v>
      </c>
      <c r="B25" s="48" t="s">
        <v>1122</v>
      </c>
      <c r="C25" s="62">
        <v>0.6</v>
      </c>
      <c r="D25" s="48" t="s">
        <v>1140</v>
      </c>
      <c r="E25" s="62">
        <v>0.05</v>
      </c>
      <c r="F25" s="62">
        <f t="shared" si="0"/>
        <v>0.03</v>
      </c>
    </row>
    <row r="26" spans="1:8" x14ac:dyDescent="0.2">
      <c r="A26" s="48" t="s">
        <v>1138</v>
      </c>
      <c r="B26" s="48" t="s">
        <v>1122</v>
      </c>
      <c r="C26" s="62">
        <v>0.6</v>
      </c>
      <c r="D26" s="48" t="s">
        <v>1141</v>
      </c>
      <c r="E26" s="62">
        <v>0.13</v>
      </c>
      <c r="F26" s="62">
        <f t="shared" si="0"/>
        <v>7.8E-2</v>
      </c>
    </row>
    <row r="27" spans="1:8" x14ac:dyDescent="0.2">
      <c r="A27" s="48" t="s">
        <v>1138</v>
      </c>
      <c r="B27" s="48" t="s">
        <v>1122</v>
      </c>
      <c r="C27" s="62">
        <v>0.6</v>
      </c>
      <c r="D27" s="48" t="s">
        <v>1127</v>
      </c>
      <c r="E27" s="62">
        <v>0.12</v>
      </c>
      <c r="F27" s="62">
        <f t="shared" si="0"/>
        <v>7.1999999999999995E-2</v>
      </c>
    </row>
    <row r="28" spans="1:8" x14ac:dyDescent="0.2">
      <c r="A28" s="48" t="s">
        <v>1138</v>
      </c>
      <c r="B28" s="48" t="s">
        <v>1122</v>
      </c>
      <c r="C28" s="62">
        <v>0.6</v>
      </c>
      <c r="D28" s="48" t="s">
        <v>1203</v>
      </c>
      <c r="E28" s="62">
        <v>0.33</v>
      </c>
      <c r="F28" s="62">
        <f t="shared" si="0"/>
        <v>0.19800000000000001</v>
      </c>
    </row>
    <row r="29" spans="1:8" x14ac:dyDescent="0.2">
      <c r="A29" s="48" t="s">
        <v>1138</v>
      </c>
      <c r="B29" s="48" t="s">
        <v>1128</v>
      </c>
      <c r="C29" s="62">
        <v>0.25</v>
      </c>
      <c r="D29" s="48" t="s">
        <v>1129</v>
      </c>
      <c r="E29" s="62">
        <v>0.1</v>
      </c>
      <c r="F29" s="62">
        <f t="shared" si="0"/>
        <v>2.5000000000000001E-2</v>
      </c>
    </row>
    <row r="30" spans="1:8" x14ac:dyDescent="0.2">
      <c r="A30" t="s">
        <v>1138</v>
      </c>
      <c r="B30" t="s">
        <v>1128</v>
      </c>
      <c r="C30" s="63">
        <v>0.25</v>
      </c>
      <c r="D30" t="s">
        <v>1130</v>
      </c>
      <c r="E30" s="63">
        <v>0.2</v>
      </c>
      <c r="F30" s="62">
        <f t="shared" si="0"/>
        <v>0.05</v>
      </c>
    </row>
    <row r="31" spans="1:8" x14ac:dyDescent="0.2">
      <c r="A31" t="s">
        <v>1138</v>
      </c>
      <c r="B31" t="s">
        <v>1128</v>
      </c>
      <c r="C31" s="63">
        <v>0.25</v>
      </c>
      <c r="D31" t="s">
        <v>1131</v>
      </c>
      <c r="E31" s="63">
        <v>0.15</v>
      </c>
      <c r="F31" s="62">
        <f t="shared" si="0"/>
        <v>3.7499999999999999E-2</v>
      </c>
    </row>
    <row r="32" spans="1:8" x14ac:dyDescent="0.2">
      <c r="A32" t="s">
        <v>1138</v>
      </c>
      <c r="B32" t="s">
        <v>1128</v>
      </c>
      <c r="C32" s="63">
        <v>0.25</v>
      </c>
      <c r="D32" t="s">
        <v>1132</v>
      </c>
      <c r="E32" s="63">
        <v>0.55000000000000004</v>
      </c>
      <c r="F32" s="62">
        <f t="shared" si="0"/>
        <v>0.13750000000000001</v>
      </c>
    </row>
    <row r="33" spans="1:6" x14ac:dyDescent="0.2">
      <c r="A33" t="s">
        <v>1138</v>
      </c>
      <c r="B33" t="s">
        <v>1133</v>
      </c>
      <c r="C33" s="63">
        <v>0.15</v>
      </c>
      <c r="D33" t="s">
        <v>1142</v>
      </c>
      <c r="E33" s="63">
        <v>0.35</v>
      </c>
      <c r="F33" s="62">
        <f t="shared" si="0"/>
        <v>5.2499999999999998E-2</v>
      </c>
    </row>
    <row r="34" spans="1:6" x14ac:dyDescent="0.2">
      <c r="A34" t="s">
        <v>1138</v>
      </c>
      <c r="B34" t="s">
        <v>1133</v>
      </c>
      <c r="C34" s="63">
        <v>0.15</v>
      </c>
      <c r="D34" t="s">
        <v>1135</v>
      </c>
      <c r="E34" s="63">
        <v>0.15</v>
      </c>
      <c r="F34" s="62">
        <f t="shared" si="0"/>
        <v>2.2499999999999999E-2</v>
      </c>
    </row>
    <row r="35" spans="1:6" x14ac:dyDescent="0.2">
      <c r="B35" t="s">
        <v>1133</v>
      </c>
      <c r="C35" s="63">
        <v>0.15</v>
      </c>
      <c r="D35" t="s">
        <v>1136</v>
      </c>
      <c r="E35" s="63">
        <v>0.2</v>
      </c>
      <c r="F35" s="62">
        <f t="shared" si="0"/>
        <v>0.03</v>
      </c>
    </row>
    <row r="36" spans="1:6" x14ac:dyDescent="0.2">
      <c r="A36" t="s">
        <v>1138</v>
      </c>
      <c r="B36" t="s">
        <v>1133</v>
      </c>
      <c r="C36" s="63">
        <v>0.15</v>
      </c>
      <c r="D36" t="s">
        <v>1143</v>
      </c>
      <c r="E36" s="63">
        <v>0.1</v>
      </c>
      <c r="F36" s="62">
        <f t="shared" si="0"/>
        <v>1.4999999999999999E-2</v>
      </c>
    </row>
    <row r="37" spans="1:6" x14ac:dyDescent="0.2">
      <c r="A37" t="s">
        <v>1138</v>
      </c>
      <c r="B37" t="s">
        <v>1133</v>
      </c>
      <c r="C37" s="63">
        <v>0.15</v>
      </c>
      <c r="D37" t="s">
        <v>1144</v>
      </c>
      <c r="E37" s="63">
        <v>0.1</v>
      </c>
      <c r="F37" s="62">
        <f t="shared" si="0"/>
        <v>1.4999999999999999E-2</v>
      </c>
    </row>
    <row r="38" spans="1:6" x14ac:dyDescent="0.2">
      <c r="A38" t="s">
        <v>1138</v>
      </c>
      <c r="B38" t="s">
        <v>1133</v>
      </c>
      <c r="C38" s="63">
        <v>0.15</v>
      </c>
      <c r="D38" t="s">
        <v>1137</v>
      </c>
      <c r="E38" s="63">
        <v>0.1</v>
      </c>
      <c r="F38" s="62">
        <f t="shared" si="0"/>
        <v>1.4999999999999999E-2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8610-D348-4992-B9C9-FAEF87BD86EC}">
  <dimension ref="A1:D3"/>
  <sheetViews>
    <sheetView zoomScale="115" zoomScaleNormal="115" workbookViewId="0">
      <selection activeCell="E5" sqref="E5"/>
    </sheetView>
  </sheetViews>
  <sheetFormatPr defaultColWidth="10.76171875" defaultRowHeight="15" x14ac:dyDescent="0.2"/>
  <cols>
    <col min="1" max="1" width="12.64453125" customWidth="1"/>
    <col min="2" max="2" width="22.1953125" customWidth="1"/>
    <col min="3" max="3" width="35.51171875" bestFit="1" customWidth="1"/>
  </cols>
  <sheetData>
    <row r="1" spans="1:4" x14ac:dyDescent="0.2">
      <c r="A1" s="6" t="s">
        <v>1116</v>
      </c>
      <c r="B1" s="6" t="s">
        <v>1150</v>
      </c>
      <c r="C1" s="6" t="s">
        <v>1147</v>
      </c>
      <c r="D1" s="6" t="s">
        <v>1148</v>
      </c>
    </row>
    <row r="2" spans="1:4" x14ac:dyDescent="0.2">
      <c r="A2" t="s">
        <v>1149</v>
      </c>
      <c r="B2" s="51">
        <v>2</v>
      </c>
      <c r="C2" s="44" t="s">
        <v>1114</v>
      </c>
      <c r="D2" s="64">
        <v>5</v>
      </c>
    </row>
    <row r="3" spans="1:4" x14ac:dyDescent="0.2">
      <c r="A3" t="s">
        <v>1149</v>
      </c>
      <c r="B3" s="51">
        <v>1</v>
      </c>
      <c r="C3" s="45" t="s">
        <v>1115</v>
      </c>
      <c r="D3" s="6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934C-EB0E-42CA-9A0A-34EAB4BA315B}">
  <dimension ref="A1:C3"/>
  <sheetViews>
    <sheetView workbookViewId="0">
      <selection activeCell="E10" sqref="E10"/>
    </sheetView>
  </sheetViews>
  <sheetFormatPr defaultColWidth="10.76171875" defaultRowHeight="15" x14ac:dyDescent="0.2"/>
  <cols>
    <col min="2" max="2" width="30.265625" customWidth="1"/>
  </cols>
  <sheetData>
    <row r="1" spans="1:3" x14ac:dyDescent="0.2">
      <c r="A1" s="6" t="s">
        <v>1116</v>
      </c>
      <c r="B1" s="6" t="s">
        <v>1123</v>
      </c>
      <c r="C1" s="6" t="s">
        <v>1148</v>
      </c>
    </row>
    <row r="2" spans="1:3" x14ac:dyDescent="0.2">
      <c r="A2" t="s">
        <v>1149</v>
      </c>
      <c r="B2" s="66" t="s">
        <v>1151</v>
      </c>
      <c r="C2" s="45">
        <v>2</v>
      </c>
    </row>
    <row r="3" spans="1:3" x14ac:dyDescent="0.2">
      <c r="A3" t="s">
        <v>1149</v>
      </c>
      <c r="B3" s="51" t="s">
        <v>1152</v>
      </c>
      <c r="C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DB5D-E54C-47C4-8B4E-EC9E96CE984C}">
  <dimension ref="A1:D15"/>
  <sheetViews>
    <sheetView workbookViewId="0">
      <selection activeCell="F15" sqref="F15"/>
    </sheetView>
  </sheetViews>
  <sheetFormatPr defaultColWidth="10.76171875" defaultRowHeight="15" x14ac:dyDescent="0.2"/>
  <cols>
    <col min="2" max="2" width="22.734375" customWidth="1"/>
    <col min="3" max="3" width="50.84765625" customWidth="1"/>
    <col min="6" max="6" width="39.953125" customWidth="1"/>
  </cols>
  <sheetData>
    <row r="1" spans="1:4" x14ac:dyDescent="0.2">
      <c r="A1" s="25" t="s">
        <v>1116</v>
      </c>
      <c r="B1" s="25" t="s">
        <v>1153</v>
      </c>
      <c r="C1" s="25" t="s">
        <v>1124</v>
      </c>
      <c r="D1" s="25" t="s">
        <v>1148</v>
      </c>
    </row>
    <row r="2" spans="1:4" x14ac:dyDescent="0.2">
      <c r="A2" s="49" t="s">
        <v>178</v>
      </c>
      <c r="B2" s="3">
        <v>1</v>
      </c>
      <c r="C2" s="41" t="s">
        <v>1161</v>
      </c>
      <c r="D2" s="3">
        <v>3</v>
      </c>
    </row>
    <row r="3" spans="1:4" x14ac:dyDescent="0.2">
      <c r="A3" s="49" t="s">
        <v>178</v>
      </c>
      <c r="B3" s="3">
        <v>2</v>
      </c>
      <c r="C3" s="41" t="s">
        <v>1166</v>
      </c>
      <c r="D3" s="3">
        <v>3</v>
      </c>
    </row>
    <row r="4" spans="1:4" x14ac:dyDescent="0.2">
      <c r="A4" s="49" t="s">
        <v>178</v>
      </c>
      <c r="B4" s="3">
        <v>3</v>
      </c>
      <c r="C4" s="41" t="s">
        <v>674</v>
      </c>
      <c r="D4" s="3">
        <v>3</v>
      </c>
    </row>
    <row r="5" spans="1:4" x14ac:dyDescent="0.2">
      <c r="A5" s="49" t="s">
        <v>178</v>
      </c>
      <c r="B5" s="3">
        <v>4</v>
      </c>
      <c r="C5" s="41" t="s">
        <v>1157</v>
      </c>
      <c r="D5" s="3">
        <v>3</v>
      </c>
    </row>
    <row r="6" spans="1:4" x14ac:dyDescent="0.2">
      <c r="A6" s="49" t="s">
        <v>178</v>
      </c>
      <c r="B6" s="3">
        <v>5</v>
      </c>
      <c r="C6" s="41" t="s">
        <v>1165</v>
      </c>
      <c r="D6" s="3">
        <v>3</v>
      </c>
    </row>
    <row r="7" spans="1:4" x14ac:dyDescent="0.2">
      <c r="A7" s="49" t="s">
        <v>178</v>
      </c>
      <c r="B7" s="3">
        <v>6</v>
      </c>
      <c r="C7" s="42" t="s">
        <v>1159</v>
      </c>
      <c r="D7" s="43">
        <v>1</v>
      </c>
    </row>
    <row r="8" spans="1:4" x14ac:dyDescent="0.2">
      <c r="A8" s="49" t="s">
        <v>178</v>
      </c>
      <c r="B8" s="3">
        <v>7</v>
      </c>
      <c r="C8" s="42" t="s">
        <v>1156</v>
      </c>
      <c r="D8" s="43">
        <v>1</v>
      </c>
    </row>
    <row r="9" spans="1:4" x14ac:dyDescent="0.2">
      <c r="A9" s="49" t="s">
        <v>178</v>
      </c>
      <c r="B9" s="3">
        <v>8</v>
      </c>
      <c r="C9" s="41" t="s">
        <v>1164</v>
      </c>
      <c r="D9" s="3">
        <v>1</v>
      </c>
    </row>
    <row r="10" spans="1:4" x14ac:dyDescent="0.2">
      <c r="A10" s="49" t="s">
        <v>178</v>
      </c>
      <c r="B10" s="3">
        <v>9</v>
      </c>
      <c r="C10" s="41" t="s">
        <v>1160</v>
      </c>
      <c r="D10" s="3">
        <v>1</v>
      </c>
    </row>
    <row r="11" spans="1:4" x14ac:dyDescent="0.2">
      <c r="A11" s="49" t="s">
        <v>178</v>
      </c>
      <c r="B11" s="3">
        <v>10</v>
      </c>
      <c r="C11" s="41" t="s">
        <v>1154</v>
      </c>
      <c r="D11" s="3">
        <v>1</v>
      </c>
    </row>
    <row r="12" spans="1:4" x14ac:dyDescent="0.2">
      <c r="A12" s="49" t="s">
        <v>178</v>
      </c>
      <c r="B12" s="3">
        <v>11</v>
      </c>
      <c r="C12" s="41" t="s">
        <v>1163</v>
      </c>
      <c r="D12" s="3">
        <v>1</v>
      </c>
    </row>
    <row r="13" spans="1:4" x14ac:dyDescent="0.2">
      <c r="A13" s="49" t="s">
        <v>178</v>
      </c>
      <c r="B13" s="3">
        <v>12</v>
      </c>
      <c r="C13" s="41" t="s">
        <v>1162</v>
      </c>
      <c r="D13" s="3">
        <v>1</v>
      </c>
    </row>
    <row r="14" spans="1:4" x14ac:dyDescent="0.2">
      <c r="A14" s="49" t="s">
        <v>178</v>
      </c>
      <c r="B14" s="3">
        <v>13</v>
      </c>
      <c r="C14" s="41" t="s">
        <v>1158</v>
      </c>
      <c r="D14" s="3">
        <v>1</v>
      </c>
    </row>
    <row r="15" spans="1:4" x14ac:dyDescent="0.2">
      <c r="A15" s="49" t="s">
        <v>178</v>
      </c>
      <c r="B15" s="3">
        <v>14</v>
      </c>
      <c r="C15" s="41" t="s">
        <v>1155</v>
      </c>
      <c r="D15" s="3">
        <v>5</v>
      </c>
    </row>
  </sheetData>
  <sortState xmlns:xlrd2="http://schemas.microsoft.com/office/spreadsheetml/2017/richdata2" ref="F1:F14">
    <sortCondition ref="F1:F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5A6B-354B-430A-9C94-2CC384230276}">
  <dimension ref="A1:I420"/>
  <sheetViews>
    <sheetView topLeftCell="A398" workbookViewId="0">
      <selection activeCell="H405" sqref="H405"/>
    </sheetView>
  </sheetViews>
  <sheetFormatPr defaultColWidth="10.76171875" defaultRowHeight="15" x14ac:dyDescent="0.2"/>
  <cols>
    <col min="1" max="1" width="33.2265625" customWidth="1"/>
    <col min="2" max="2" width="16.140625" style="51" customWidth="1"/>
    <col min="3" max="3" width="22.05859375" style="51" customWidth="1"/>
    <col min="4" max="4" width="10.4921875" bestFit="1" customWidth="1"/>
    <col min="5" max="5" width="12.64453125" style="51" bestFit="1" customWidth="1"/>
    <col min="6" max="6" width="17.3515625" customWidth="1"/>
    <col min="7" max="7" width="16.8125" style="51" bestFit="1" customWidth="1"/>
    <col min="8" max="8" width="18.6953125" customWidth="1"/>
    <col min="9" max="9" width="19.63671875" style="51" customWidth="1"/>
  </cols>
  <sheetData>
    <row r="1" spans="1:9" x14ac:dyDescent="0.2">
      <c r="A1" t="s">
        <v>1125</v>
      </c>
      <c r="B1" s="51" t="s">
        <v>1167</v>
      </c>
      <c r="C1" s="51" t="s">
        <v>1126</v>
      </c>
      <c r="D1" t="s">
        <v>1116</v>
      </c>
      <c r="E1" s="51" t="s">
        <v>1148</v>
      </c>
      <c r="F1" t="s">
        <v>1168</v>
      </c>
      <c r="G1" s="51" t="s">
        <v>1169</v>
      </c>
      <c r="H1" t="s">
        <v>1170</v>
      </c>
      <c r="I1" s="51" t="s">
        <v>1171</v>
      </c>
    </row>
    <row r="2" spans="1:9" x14ac:dyDescent="0.2">
      <c r="A2" t="s">
        <v>795</v>
      </c>
      <c r="B2" s="51" t="s">
        <v>1206</v>
      </c>
      <c r="C2" s="51">
        <v>0</v>
      </c>
      <c r="D2" t="s">
        <v>1149</v>
      </c>
      <c r="E2" s="51">
        <v>1</v>
      </c>
      <c r="F2" t="s">
        <v>275</v>
      </c>
      <c r="G2" s="51">
        <v>0</v>
      </c>
      <c r="H2" t="s">
        <v>275</v>
      </c>
      <c r="I2" s="51">
        <v>0</v>
      </c>
    </row>
    <row r="3" spans="1:9" x14ac:dyDescent="0.2">
      <c r="A3" t="s">
        <v>1052</v>
      </c>
      <c r="B3" s="51" t="s">
        <v>1207</v>
      </c>
      <c r="C3" s="51">
        <v>0</v>
      </c>
      <c r="D3" t="s">
        <v>1149</v>
      </c>
      <c r="E3" s="51">
        <v>1</v>
      </c>
      <c r="F3" t="s">
        <v>275</v>
      </c>
      <c r="G3" s="51">
        <v>0</v>
      </c>
      <c r="H3" t="s">
        <v>275</v>
      </c>
      <c r="I3" s="51">
        <v>0</v>
      </c>
    </row>
    <row r="4" spans="1:9" x14ac:dyDescent="0.2">
      <c r="A4" t="s">
        <v>1056</v>
      </c>
      <c r="B4" s="51" t="s">
        <v>1208</v>
      </c>
      <c r="C4" s="51">
        <v>0</v>
      </c>
      <c r="D4" t="s">
        <v>1149</v>
      </c>
      <c r="E4" s="51">
        <v>1</v>
      </c>
      <c r="F4" t="s">
        <v>275</v>
      </c>
      <c r="G4" s="51">
        <v>0</v>
      </c>
      <c r="H4" t="s">
        <v>275</v>
      </c>
      <c r="I4" s="51">
        <v>0</v>
      </c>
    </row>
    <row r="5" spans="1:9" x14ac:dyDescent="0.2">
      <c r="A5" t="s">
        <v>1085</v>
      </c>
      <c r="B5" s="51" t="s">
        <v>1209</v>
      </c>
      <c r="C5" s="51">
        <v>0</v>
      </c>
      <c r="D5" t="s">
        <v>1149</v>
      </c>
      <c r="E5" s="51">
        <v>1</v>
      </c>
      <c r="F5" t="s">
        <v>275</v>
      </c>
      <c r="G5" s="51">
        <v>0</v>
      </c>
      <c r="H5" t="s">
        <v>275</v>
      </c>
      <c r="I5" s="51">
        <v>0</v>
      </c>
    </row>
    <row r="6" spans="1:9" x14ac:dyDescent="0.2">
      <c r="A6" t="s">
        <v>1060</v>
      </c>
      <c r="B6" s="51" t="s">
        <v>1210</v>
      </c>
      <c r="C6" s="51">
        <v>0</v>
      </c>
      <c r="D6" t="s">
        <v>1149</v>
      </c>
      <c r="E6" s="51">
        <v>5</v>
      </c>
      <c r="F6" t="s">
        <v>279</v>
      </c>
      <c r="G6" s="51">
        <v>0</v>
      </c>
      <c r="H6" t="s">
        <v>279</v>
      </c>
      <c r="I6" s="51">
        <v>0</v>
      </c>
    </row>
    <row r="7" spans="1:9" x14ac:dyDescent="0.2">
      <c r="A7" t="s">
        <v>1043</v>
      </c>
      <c r="B7" s="51" t="s">
        <v>1211</v>
      </c>
      <c r="C7" s="51">
        <v>0</v>
      </c>
      <c r="D7" t="s">
        <v>1149</v>
      </c>
      <c r="E7" s="51">
        <v>1</v>
      </c>
      <c r="F7" t="s">
        <v>275</v>
      </c>
      <c r="G7" s="51">
        <v>0</v>
      </c>
      <c r="H7" t="s">
        <v>275</v>
      </c>
      <c r="I7" s="51">
        <v>0</v>
      </c>
    </row>
    <row r="8" spans="1:9" x14ac:dyDescent="0.2">
      <c r="A8" t="s">
        <v>1044</v>
      </c>
      <c r="B8" s="51" t="s">
        <v>1212</v>
      </c>
      <c r="C8" s="51">
        <v>0</v>
      </c>
      <c r="D8" t="s">
        <v>1149</v>
      </c>
      <c r="E8" s="51">
        <v>1</v>
      </c>
      <c r="F8" t="s">
        <v>275</v>
      </c>
      <c r="G8" s="51">
        <v>0</v>
      </c>
      <c r="H8" t="s">
        <v>275</v>
      </c>
      <c r="I8" s="51">
        <v>0</v>
      </c>
    </row>
    <row r="9" spans="1:9" x14ac:dyDescent="0.2">
      <c r="A9" t="s">
        <v>1003</v>
      </c>
      <c r="B9" s="51" t="s">
        <v>1213</v>
      </c>
      <c r="C9" s="51">
        <v>0</v>
      </c>
      <c r="D9" t="s">
        <v>1149</v>
      </c>
      <c r="E9" s="51">
        <v>1</v>
      </c>
      <c r="F9" t="s">
        <v>275</v>
      </c>
      <c r="G9" s="51">
        <v>0</v>
      </c>
      <c r="H9" t="s">
        <v>275</v>
      </c>
      <c r="I9" s="51">
        <v>0</v>
      </c>
    </row>
    <row r="10" spans="1:9" x14ac:dyDescent="0.2">
      <c r="A10" t="s">
        <v>1046</v>
      </c>
      <c r="B10" s="51" t="s">
        <v>1214</v>
      </c>
      <c r="C10" s="51">
        <v>0</v>
      </c>
      <c r="D10" t="s">
        <v>1149</v>
      </c>
      <c r="E10" s="51">
        <v>3</v>
      </c>
      <c r="F10" t="s">
        <v>281</v>
      </c>
      <c r="G10" s="51">
        <v>0</v>
      </c>
      <c r="H10" t="s">
        <v>281</v>
      </c>
      <c r="I10" s="51">
        <v>0</v>
      </c>
    </row>
    <row r="11" spans="1:9" x14ac:dyDescent="0.2">
      <c r="A11" t="s">
        <v>1019</v>
      </c>
      <c r="B11" s="51" t="s">
        <v>1215</v>
      </c>
      <c r="C11" s="51">
        <v>0</v>
      </c>
      <c r="D11" t="s">
        <v>1149</v>
      </c>
      <c r="E11" s="51">
        <v>5</v>
      </c>
      <c r="F11" t="s">
        <v>279</v>
      </c>
      <c r="G11" s="51">
        <v>0</v>
      </c>
      <c r="H11" t="s">
        <v>279</v>
      </c>
      <c r="I11" s="51">
        <v>0</v>
      </c>
    </row>
    <row r="12" spans="1:9" x14ac:dyDescent="0.2">
      <c r="A12" t="s">
        <v>977</v>
      </c>
      <c r="B12" s="51" t="s">
        <v>1216</v>
      </c>
      <c r="C12" s="51">
        <v>1</v>
      </c>
      <c r="D12" t="s">
        <v>1149</v>
      </c>
      <c r="E12" s="51">
        <v>3</v>
      </c>
      <c r="F12" t="s">
        <v>281</v>
      </c>
      <c r="G12" s="51">
        <v>0</v>
      </c>
      <c r="H12" t="s">
        <v>281</v>
      </c>
      <c r="I12" s="51">
        <v>0</v>
      </c>
    </row>
    <row r="13" spans="1:9" x14ac:dyDescent="0.2">
      <c r="A13" t="s">
        <v>721</v>
      </c>
      <c r="B13" s="51" t="s">
        <v>722</v>
      </c>
      <c r="C13" s="51">
        <v>0</v>
      </c>
      <c r="D13" t="s">
        <v>1149</v>
      </c>
      <c r="E13" s="51">
        <v>1</v>
      </c>
      <c r="F13" t="s">
        <v>275</v>
      </c>
      <c r="G13" s="51">
        <v>0</v>
      </c>
      <c r="H13" t="s">
        <v>275</v>
      </c>
      <c r="I13" s="51">
        <v>0</v>
      </c>
    </row>
    <row r="14" spans="1:9" x14ac:dyDescent="0.2">
      <c r="A14" t="s">
        <v>1076</v>
      </c>
      <c r="B14" s="51" t="s">
        <v>1217</v>
      </c>
      <c r="C14" s="51">
        <v>0</v>
      </c>
      <c r="D14" t="s">
        <v>1149</v>
      </c>
      <c r="E14" s="51">
        <v>1</v>
      </c>
      <c r="F14" t="s">
        <v>275</v>
      </c>
      <c r="G14" s="51">
        <v>0</v>
      </c>
      <c r="H14" t="s">
        <v>275</v>
      </c>
      <c r="I14" s="51">
        <v>0</v>
      </c>
    </row>
    <row r="15" spans="1:9" x14ac:dyDescent="0.2">
      <c r="A15" t="s">
        <v>723</v>
      </c>
      <c r="B15" s="51" t="s">
        <v>724</v>
      </c>
      <c r="C15" s="51">
        <v>0</v>
      </c>
      <c r="D15" t="s">
        <v>1149</v>
      </c>
      <c r="E15" s="51">
        <v>1</v>
      </c>
      <c r="F15" t="s">
        <v>275</v>
      </c>
      <c r="G15" s="51">
        <v>0</v>
      </c>
      <c r="H15" t="s">
        <v>275</v>
      </c>
      <c r="I15" s="51">
        <v>0</v>
      </c>
    </row>
    <row r="16" spans="1:9" x14ac:dyDescent="0.2">
      <c r="A16" t="s">
        <v>772</v>
      </c>
      <c r="B16" s="51" t="s">
        <v>773</v>
      </c>
      <c r="C16" s="51">
        <v>0</v>
      </c>
      <c r="D16" t="s">
        <v>1149</v>
      </c>
      <c r="E16" s="51">
        <v>5</v>
      </c>
      <c r="F16" t="s">
        <v>279</v>
      </c>
      <c r="G16" s="51">
        <v>0</v>
      </c>
      <c r="H16" t="s">
        <v>279</v>
      </c>
      <c r="I16" s="51">
        <v>0</v>
      </c>
    </row>
    <row r="17" spans="1:9" x14ac:dyDescent="0.2">
      <c r="A17" t="s">
        <v>774</v>
      </c>
      <c r="B17" s="51" t="s">
        <v>775</v>
      </c>
      <c r="C17" s="51">
        <v>0</v>
      </c>
      <c r="D17" t="s">
        <v>1149</v>
      </c>
      <c r="E17" s="51">
        <v>3</v>
      </c>
      <c r="F17" t="s">
        <v>281</v>
      </c>
      <c r="G17" s="51">
        <v>0</v>
      </c>
      <c r="H17" t="s">
        <v>281</v>
      </c>
      <c r="I17" s="51">
        <v>0</v>
      </c>
    </row>
    <row r="18" spans="1:9" x14ac:dyDescent="0.2">
      <c r="A18" t="s">
        <v>1028</v>
      </c>
      <c r="B18" s="51" t="s">
        <v>1218</v>
      </c>
      <c r="C18" s="51">
        <v>0</v>
      </c>
      <c r="D18" t="s">
        <v>1149</v>
      </c>
      <c r="E18" s="51">
        <v>1</v>
      </c>
      <c r="F18" t="s">
        <v>275</v>
      </c>
      <c r="G18" s="51">
        <v>0</v>
      </c>
      <c r="H18" t="s">
        <v>275</v>
      </c>
      <c r="I18" s="51">
        <v>0</v>
      </c>
    </row>
    <row r="19" spans="1:9" x14ac:dyDescent="0.2">
      <c r="A19" t="s">
        <v>1083</v>
      </c>
      <c r="B19" s="51" t="s">
        <v>1219</v>
      </c>
      <c r="C19" s="51">
        <v>0</v>
      </c>
      <c r="D19" t="s">
        <v>1149</v>
      </c>
      <c r="E19" s="51">
        <v>1</v>
      </c>
      <c r="F19" t="s">
        <v>275</v>
      </c>
      <c r="G19" s="51">
        <v>0</v>
      </c>
      <c r="H19" t="s">
        <v>275</v>
      </c>
      <c r="I19" s="51">
        <v>0</v>
      </c>
    </row>
    <row r="20" spans="1:9" x14ac:dyDescent="0.2">
      <c r="A20" t="s">
        <v>1095</v>
      </c>
      <c r="B20" s="51" t="s">
        <v>1220</v>
      </c>
      <c r="C20" s="51">
        <v>0</v>
      </c>
      <c r="D20" t="s">
        <v>1149</v>
      </c>
      <c r="E20" s="51">
        <v>3</v>
      </c>
      <c r="F20" t="s">
        <v>281</v>
      </c>
      <c r="G20" s="51">
        <v>0</v>
      </c>
      <c r="H20" t="s">
        <v>281</v>
      </c>
      <c r="I20" s="51">
        <v>0</v>
      </c>
    </row>
    <row r="21" spans="1:9" x14ac:dyDescent="0.2">
      <c r="A21" t="s">
        <v>1096</v>
      </c>
      <c r="B21" s="51" t="s">
        <v>1221</v>
      </c>
      <c r="C21" s="51">
        <v>0</v>
      </c>
      <c r="D21" t="s">
        <v>1149</v>
      </c>
      <c r="E21" s="51">
        <v>3</v>
      </c>
      <c r="F21" t="s">
        <v>281</v>
      </c>
      <c r="G21" s="51">
        <v>0</v>
      </c>
      <c r="H21" t="s">
        <v>281</v>
      </c>
      <c r="I21" s="51">
        <v>0</v>
      </c>
    </row>
    <row r="22" spans="1:9" x14ac:dyDescent="0.2">
      <c r="A22" t="s">
        <v>1080</v>
      </c>
      <c r="B22" s="51" t="s">
        <v>1222</v>
      </c>
      <c r="C22" s="51">
        <v>0</v>
      </c>
      <c r="D22" t="s">
        <v>1149</v>
      </c>
      <c r="E22" s="51">
        <v>1</v>
      </c>
      <c r="F22" t="s">
        <v>275</v>
      </c>
      <c r="G22" s="51">
        <v>0</v>
      </c>
      <c r="H22" t="s">
        <v>275</v>
      </c>
      <c r="I22" s="51">
        <v>0</v>
      </c>
    </row>
    <row r="23" spans="1:9" x14ac:dyDescent="0.2">
      <c r="A23" t="s">
        <v>1172</v>
      </c>
      <c r="B23" s="51" t="s">
        <v>1223</v>
      </c>
      <c r="C23" s="51">
        <v>0</v>
      </c>
      <c r="D23" t="s">
        <v>1149</v>
      </c>
      <c r="E23" s="51">
        <v>1</v>
      </c>
      <c r="F23" t="s">
        <v>275</v>
      </c>
      <c r="G23" s="51">
        <v>0</v>
      </c>
      <c r="H23" t="s">
        <v>275</v>
      </c>
      <c r="I23" s="51">
        <v>0</v>
      </c>
    </row>
    <row r="24" spans="1:9" x14ac:dyDescent="0.2">
      <c r="A24" t="s">
        <v>1081</v>
      </c>
      <c r="B24" s="51" t="s">
        <v>1224</v>
      </c>
      <c r="C24" s="51">
        <v>0</v>
      </c>
      <c r="D24" t="s">
        <v>1149</v>
      </c>
      <c r="E24" s="51">
        <v>1</v>
      </c>
      <c r="F24" t="s">
        <v>275</v>
      </c>
      <c r="G24" s="51">
        <v>0</v>
      </c>
      <c r="H24" t="s">
        <v>275</v>
      </c>
      <c r="I24" s="51">
        <v>0</v>
      </c>
    </row>
    <row r="25" spans="1:9" x14ac:dyDescent="0.2">
      <c r="A25" t="s">
        <v>1086</v>
      </c>
      <c r="B25" s="51" t="s">
        <v>1225</v>
      </c>
      <c r="C25" s="51">
        <v>0</v>
      </c>
      <c r="D25" t="s">
        <v>1149</v>
      </c>
      <c r="E25" s="51">
        <v>1</v>
      </c>
      <c r="F25" t="s">
        <v>275</v>
      </c>
      <c r="G25" s="51">
        <v>0</v>
      </c>
      <c r="H25" t="s">
        <v>275</v>
      </c>
      <c r="I25" s="51">
        <v>0</v>
      </c>
    </row>
    <row r="26" spans="1:9" x14ac:dyDescent="0.2">
      <c r="A26" t="s">
        <v>978</v>
      </c>
      <c r="B26" s="51" t="s">
        <v>1226</v>
      </c>
      <c r="C26" s="51">
        <v>0</v>
      </c>
      <c r="D26" t="s">
        <v>1149</v>
      </c>
      <c r="E26" s="51">
        <v>3</v>
      </c>
      <c r="F26" t="s">
        <v>281</v>
      </c>
      <c r="G26" s="51">
        <v>0</v>
      </c>
      <c r="H26" t="s">
        <v>281</v>
      </c>
      <c r="I26" s="51">
        <v>0</v>
      </c>
    </row>
    <row r="27" spans="1:9" x14ac:dyDescent="0.2">
      <c r="A27" t="s">
        <v>1058</v>
      </c>
      <c r="B27" s="51" t="s">
        <v>1227</v>
      </c>
      <c r="C27" s="51">
        <v>0</v>
      </c>
      <c r="D27" t="s">
        <v>1149</v>
      </c>
      <c r="E27" s="51">
        <v>1</v>
      </c>
      <c r="F27" t="s">
        <v>275</v>
      </c>
      <c r="G27" s="51">
        <v>0</v>
      </c>
      <c r="H27" t="s">
        <v>275</v>
      </c>
      <c r="I27" s="51">
        <v>0</v>
      </c>
    </row>
    <row r="28" spans="1:9" x14ac:dyDescent="0.2">
      <c r="A28" t="s">
        <v>1091</v>
      </c>
      <c r="B28" s="51" t="s">
        <v>1228</v>
      </c>
      <c r="C28" s="51">
        <v>0</v>
      </c>
      <c r="D28" t="s">
        <v>1149</v>
      </c>
      <c r="E28" s="51">
        <v>1</v>
      </c>
      <c r="F28" t="s">
        <v>275</v>
      </c>
      <c r="G28" s="51">
        <v>0</v>
      </c>
      <c r="H28" t="s">
        <v>275</v>
      </c>
      <c r="I28" s="51">
        <v>0</v>
      </c>
    </row>
    <row r="29" spans="1:9" x14ac:dyDescent="0.2">
      <c r="A29" t="s">
        <v>1027</v>
      </c>
      <c r="B29" s="51" t="s">
        <v>1229</v>
      </c>
      <c r="C29" s="51">
        <v>0</v>
      </c>
      <c r="D29" t="s">
        <v>1149</v>
      </c>
      <c r="E29" s="51">
        <v>1</v>
      </c>
      <c r="F29" t="s">
        <v>275</v>
      </c>
      <c r="G29" s="51">
        <v>0</v>
      </c>
      <c r="H29" t="s">
        <v>275</v>
      </c>
      <c r="I29" s="51">
        <v>0</v>
      </c>
    </row>
    <row r="30" spans="1:9" x14ac:dyDescent="0.2">
      <c r="A30" t="s">
        <v>1025</v>
      </c>
      <c r="B30" s="51" t="s">
        <v>1230</v>
      </c>
      <c r="C30" s="51">
        <v>1</v>
      </c>
      <c r="D30" t="s">
        <v>1149</v>
      </c>
      <c r="E30" s="51">
        <v>3</v>
      </c>
      <c r="F30" t="s">
        <v>281</v>
      </c>
      <c r="G30" s="51">
        <v>0</v>
      </c>
      <c r="H30" t="s">
        <v>281</v>
      </c>
      <c r="I30" s="51">
        <v>0</v>
      </c>
    </row>
    <row r="31" spans="1:9" x14ac:dyDescent="0.2">
      <c r="A31" t="s">
        <v>1066</v>
      </c>
      <c r="B31" s="51" t="s">
        <v>1231</v>
      </c>
      <c r="C31" s="51">
        <v>0</v>
      </c>
      <c r="D31" t="s">
        <v>1149</v>
      </c>
      <c r="E31" s="51">
        <v>1</v>
      </c>
      <c r="F31" t="s">
        <v>275</v>
      </c>
      <c r="G31" s="51">
        <v>0</v>
      </c>
      <c r="H31" t="s">
        <v>275</v>
      </c>
      <c r="I31" s="51">
        <v>0</v>
      </c>
    </row>
    <row r="32" spans="1:9" x14ac:dyDescent="0.2">
      <c r="A32" t="s">
        <v>913</v>
      </c>
      <c r="B32" s="51" t="s">
        <v>1232</v>
      </c>
      <c r="C32" s="51">
        <v>0</v>
      </c>
      <c r="D32" t="s">
        <v>1149</v>
      </c>
      <c r="E32" s="51">
        <v>3</v>
      </c>
      <c r="F32" t="s">
        <v>281</v>
      </c>
      <c r="G32" s="51">
        <v>0</v>
      </c>
      <c r="H32" t="s">
        <v>281</v>
      </c>
      <c r="I32" s="51">
        <v>0</v>
      </c>
    </row>
    <row r="33" spans="1:9" x14ac:dyDescent="0.2">
      <c r="A33" t="s">
        <v>991</v>
      </c>
      <c r="B33" s="51" t="s">
        <v>1233</v>
      </c>
      <c r="C33" s="51">
        <v>0</v>
      </c>
      <c r="D33" t="s">
        <v>1149</v>
      </c>
      <c r="E33" s="51">
        <v>3</v>
      </c>
      <c r="F33" t="s">
        <v>281</v>
      </c>
      <c r="G33" s="51">
        <v>0</v>
      </c>
      <c r="H33" t="s">
        <v>281</v>
      </c>
      <c r="I33" s="51">
        <v>0</v>
      </c>
    </row>
    <row r="34" spans="1:9" x14ac:dyDescent="0.2">
      <c r="A34" t="s">
        <v>1061</v>
      </c>
      <c r="B34" s="51" t="s">
        <v>1234</v>
      </c>
      <c r="C34" s="51">
        <v>0</v>
      </c>
      <c r="D34" t="s">
        <v>1149</v>
      </c>
      <c r="E34" s="51">
        <v>1</v>
      </c>
      <c r="F34" t="s">
        <v>275</v>
      </c>
      <c r="G34" s="51">
        <v>0</v>
      </c>
      <c r="H34" t="s">
        <v>275</v>
      </c>
      <c r="I34" s="51">
        <v>0</v>
      </c>
    </row>
    <row r="35" spans="1:9" x14ac:dyDescent="0.2">
      <c r="A35" t="s">
        <v>992</v>
      </c>
      <c r="B35" s="51" t="s">
        <v>1235</v>
      </c>
      <c r="C35" s="51">
        <v>0</v>
      </c>
      <c r="D35" t="s">
        <v>1149</v>
      </c>
      <c r="E35" s="51">
        <v>3</v>
      </c>
      <c r="F35" t="s">
        <v>281</v>
      </c>
      <c r="G35" s="51">
        <v>0</v>
      </c>
      <c r="H35" t="s">
        <v>281</v>
      </c>
      <c r="I35" s="51">
        <v>0</v>
      </c>
    </row>
    <row r="36" spans="1:9" x14ac:dyDescent="0.2">
      <c r="A36" t="s">
        <v>1035</v>
      </c>
      <c r="B36" s="51" t="s">
        <v>1236</v>
      </c>
      <c r="C36" s="51">
        <v>0</v>
      </c>
      <c r="D36" t="s">
        <v>1149</v>
      </c>
      <c r="E36" s="51">
        <v>1</v>
      </c>
      <c r="F36" t="s">
        <v>275</v>
      </c>
      <c r="G36" s="51">
        <v>0</v>
      </c>
      <c r="H36" t="s">
        <v>275</v>
      </c>
      <c r="I36" s="51">
        <v>0</v>
      </c>
    </row>
    <row r="37" spans="1:9" x14ac:dyDescent="0.2">
      <c r="A37" t="s">
        <v>1021</v>
      </c>
      <c r="B37" s="51" t="s">
        <v>1237</v>
      </c>
      <c r="C37" s="51">
        <v>0</v>
      </c>
      <c r="D37" t="s">
        <v>1149</v>
      </c>
      <c r="E37" s="51">
        <v>3</v>
      </c>
      <c r="F37" t="s">
        <v>281</v>
      </c>
      <c r="G37" s="51">
        <v>0</v>
      </c>
      <c r="H37" t="s">
        <v>281</v>
      </c>
      <c r="I37" s="51">
        <v>0</v>
      </c>
    </row>
    <row r="38" spans="1:9" x14ac:dyDescent="0.2">
      <c r="A38" t="s">
        <v>993</v>
      </c>
      <c r="B38" s="51" t="s">
        <v>1238</v>
      </c>
      <c r="C38" s="51">
        <v>0</v>
      </c>
      <c r="D38" t="s">
        <v>1149</v>
      </c>
      <c r="E38" s="51">
        <v>3</v>
      </c>
      <c r="F38" t="s">
        <v>281</v>
      </c>
      <c r="G38" s="51">
        <v>0</v>
      </c>
      <c r="H38" t="s">
        <v>281</v>
      </c>
      <c r="I38" s="51">
        <v>0</v>
      </c>
    </row>
    <row r="39" spans="1:9" x14ac:dyDescent="0.2">
      <c r="A39" t="s">
        <v>1077</v>
      </c>
      <c r="B39" s="51" t="s">
        <v>1239</v>
      </c>
      <c r="C39" s="51">
        <v>0</v>
      </c>
      <c r="D39" t="s">
        <v>1149</v>
      </c>
      <c r="E39" s="51">
        <v>1</v>
      </c>
      <c r="F39" t="s">
        <v>275</v>
      </c>
      <c r="G39" s="51">
        <v>0</v>
      </c>
      <c r="H39" t="s">
        <v>275</v>
      </c>
      <c r="I39" s="51">
        <v>0</v>
      </c>
    </row>
    <row r="40" spans="1:9" x14ac:dyDescent="0.2">
      <c r="A40" t="s">
        <v>1051</v>
      </c>
      <c r="B40" s="51" t="s">
        <v>1240</v>
      </c>
      <c r="C40" s="51">
        <v>0</v>
      </c>
      <c r="D40" t="s">
        <v>1149</v>
      </c>
      <c r="E40" s="51">
        <v>1</v>
      </c>
      <c r="F40" t="s">
        <v>275</v>
      </c>
      <c r="G40" s="51">
        <v>0</v>
      </c>
      <c r="H40" t="s">
        <v>275</v>
      </c>
      <c r="I40" s="51">
        <v>0</v>
      </c>
    </row>
    <row r="41" spans="1:9" x14ac:dyDescent="0.2">
      <c r="A41" t="s">
        <v>1088</v>
      </c>
      <c r="B41" s="51" t="s">
        <v>1241</v>
      </c>
      <c r="C41" s="51">
        <v>0</v>
      </c>
      <c r="D41" t="s">
        <v>1149</v>
      </c>
      <c r="E41" s="51">
        <v>1</v>
      </c>
      <c r="F41" t="s">
        <v>275</v>
      </c>
      <c r="G41" s="51">
        <v>0</v>
      </c>
      <c r="H41" t="s">
        <v>275</v>
      </c>
      <c r="I41" s="51">
        <v>0</v>
      </c>
    </row>
    <row r="42" spans="1:9" x14ac:dyDescent="0.2">
      <c r="A42" t="s">
        <v>1089</v>
      </c>
      <c r="B42" s="51" t="s">
        <v>1242</v>
      </c>
      <c r="C42" s="51">
        <v>0</v>
      </c>
      <c r="D42" t="s">
        <v>1149</v>
      </c>
      <c r="E42" s="51">
        <v>5</v>
      </c>
      <c r="F42" t="s">
        <v>731</v>
      </c>
      <c r="G42" s="51">
        <v>1</v>
      </c>
      <c r="H42" t="s">
        <v>279</v>
      </c>
      <c r="I42" s="51">
        <v>0</v>
      </c>
    </row>
    <row r="43" spans="1:9" x14ac:dyDescent="0.2">
      <c r="A43" t="s">
        <v>1063</v>
      </c>
      <c r="B43" s="51" t="s">
        <v>1243</v>
      </c>
      <c r="C43" s="51">
        <v>0</v>
      </c>
      <c r="D43" t="s">
        <v>1149</v>
      </c>
      <c r="E43" s="51">
        <v>1</v>
      </c>
      <c r="F43" t="s">
        <v>275</v>
      </c>
      <c r="G43" s="51">
        <v>0</v>
      </c>
      <c r="H43" t="s">
        <v>275</v>
      </c>
      <c r="I43" s="51">
        <v>0</v>
      </c>
    </row>
    <row r="44" spans="1:9" x14ac:dyDescent="0.2">
      <c r="A44" t="s">
        <v>1112</v>
      </c>
      <c r="B44" s="51" t="s">
        <v>1244</v>
      </c>
      <c r="C44" s="51">
        <v>0</v>
      </c>
      <c r="D44" t="s">
        <v>1149</v>
      </c>
      <c r="E44" s="51">
        <v>1</v>
      </c>
      <c r="F44" t="s">
        <v>275</v>
      </c>
      <c r="G44" s="51">
        <v>0</v>
      </c>
      <c r="H44" t="s">
        <v>275</v>
      </c>
      <c r="I44" s="51">
        <v>0</v>
      </c>
    </row>
    <row r="45" spans="1:9" x14ac:dyDescent="0.2">
      <c r="A45" t="s">
        <v>1067</v>
      </c>
      <c r="B45" s="51" t="s">
        <v>1245</v>
      </c>
      <c r="C45" s="51">
        <v>0</v>
      </c>
      <c r="D45" t="s">
        <v>1149</v>
      </c>
      <c r="E45" s="51">
        <v>1</v>
      </c>
      <c r="F45" t="s">
        <v>275</v>
      </c>
      <c r="G45" s="51">
        <v>0</v>
      </c>
      <c r="H45" t="s">
        <v>275</v>
      </c>
      <c r="I45" s="51">
        <v>0</v>
      </c>
    </row>
    <row r="46" spans="1:9" x14ac:dyDescent="0.2">
      <c r="A46" t="s">
        <v>1078</v>
      </c>
      <c r="B46" s="51" t="s">
        <v>1246</v>
      </c>
      <c r="C46" s="51">
        <v>0</v>
      </c>
      <c r="D46" t="s">
        <v>1149</v>
      </c>
      <c r="E46" s="51">
        <v>1</v>
      </c>
      <c r="F46" t="s">
        <v>275</v>
      </c>
      <c r="G46" s="51">
        <v>0</v>
      </c>
      <c r="H46" t="s">
        <v>275</v>
      </c>
      <c r="I46" s="51">
        <v>0</v>
      </c>
    </row>
    <row r="47" spans="1:9" x14ac:dyDescent="0.2">
      <c r="A47" t="s">
        <v>976</v>
      </c>
      <c r="B47" s="51" t="s">
        <v>1247</v>
      </c>
      <c r="C47" s="51">
        <v>0</v>
      </c>
      <c r="D47" t="s">
        <v>1149</v>
      </c>
      <c r="E47" s="51">
        <v>1</v>
      </c>
      <c r="F47" t="s">
        <v>275</v>
      </c>
      <c r="G47" s="51">
        <v>0</v>
      </c>
      <c r="H47" t="s">
        <v>275</v>
      </c>
      <c r="I47" s="51">
        <v>0</v>
      </c>
    </row>
    <row r="48" spans="1:9" x14ac:dyDescent="0.2">
      <c r="A48" t="s">
        <v>1087</v>
      </c>
      <c r="B48" s="51" t="s">
        <v>1248</v>
      </c>
      <c r="C48" s="51">
        <v>0</v>
      </c>
      <c r="D48" t="s">
        <v>1149</v>
      </c>
      <c r="E48" s="51">
        <v>1</v>
      </c>
      <c r="F48" t="s">
        <v>275</v>
      </c>
      <c r="G48" s="51">
        <v>0</v>
      </c>
      <c r="H48" t="s">
        <v>275</v>
      </c>
      <c r="I48" s="51">
        <v>0</v>
      </c>
    </row>
    <row r="49" spans="1:9" x14ac:dyDescent="0.2">
      <c r="A49" t="s">
        <v>1026</v>
      </c>
      <c r="B49" s="51" t="s">
        <v>1249</v>
      </c>
      <c r="C49" s="51">
        <v>0</v>
      </c>
      <c r="D49" t="s">
        <v>1149</v>
      </c>
      <c r="E49" s="51">
        <v>1</v>
      </c>
      <c r="F49" t="s">
        <v>275</v>
      </c>
      <c r="G49" s="51">
        <v>0</v>
      </c>
      <c r="H49" t="s">
        <v>275</v>
      </c>
      <c r="I49" s="51">
        <v>0</v>
      </c>
    </row>
    <row r="50" spans="1:9" x14ac:dyDescent="0.2">
      <c r="A50" t="s">
        <v>1047</v>
      </c>
      <c r="B50" s="51" t="s">
        <v>1250</v>
      </c>
      <c r="C50" s="51">
        <v>0</v>
      </c>
      <c r="D50" t="s">
        <v>1149</v>
      </c>
      <c r="E50" s="51">
        <v>3</v>
      </c>
      <c r="F50" t="s">
        <v>281</v>
      </c>
      <c r="G50" s="51">
        <v>0</v>
      </c>
      <c r="H50" t="s">
        <v>281</v>
      </c>
      <c r="I50" s="51">
        <v>0</v>
      </c>
    </row>
    <row r="51" spans="1:9" x14ac:dyDescent="0.2">
      <c r="A51" t="s">
        <v>1099</v>
      </c>
      <c r="B51" s="51" t="s">
        <v>1251</v>
      </c>
      <c r="C51" s="51">
        <v>0</v>
      </c>
      <c r="D51" t="s">
        <v>1149</v>
      </c>
      <c r="E51" s="51">
        <v>5</v>
      </c>
      <c r="F51" t="s">
        <v>731</v>
      </c>
      <c r="G51" s="51">
        <v>1</v>
      </c>
      <c r="H51" t="s">
        <v>279</v>
      </c>
      <c r="I51" s="51">
        <v>0</v>
      </c>
    </row>
    <row r="52" spans="1:9" x14ac:dyDescent="0.2">
      <c r="A52" t="s">
        <v>1098</v>
      </c>
      <c r="B52" s="51" t="s">
        <v>1252</v>
      </c>
      <c r="C52" s="51">
        <v>0</v>
      </c>
      <c r="D52" t="s">
        <v>1149</v>
      </c>
      <c r="E52" s="51">
        <v>5</v>
      </c>
      <c r="F52" t="s">
        <v>731</v>
      </c>
      <c r="G52" s="51">
        <v>1</v>
      </c>
      <c r="H52" t="s">
        <v>279</v>
      </c>
      <c r="I52" s="51">
        <v>0</v>
      </c>
    </row>
    <row r="53" spans="1:9" x14ac:dyDescent="0.2">
      <c r="A53" t="s">
        <v>1113</v>
      </c>
      <c r="B53" s="51" t="s">
        <v>1253</v>
      </c>
      <c r="C53" s="51">
        <v>0</v>
      </c>
      <c r="D53" t="s">
        <v>1149</v>
      </c>
      <c r="E53" s="51">
        <v>1</v>
      </c>
      <c r="F53" t="s">
        <v>275</v>
      </c>
      <c r="G53" s="51">
        <v>0</v>
      </c>
      <c r="H53" t="s">
        <v>275</v>
      </c>
      <c r="I53" s="51">
        <v>0</v>
      </c>
    </row>
    <row r="54" spans="1:9" x14ac:dyDescent="0.2">
      <c r="A54" t="s">
        <v>1100</v>
      </c>
      <c r="B54" s="51" t="s">
        <v>1254</v>
      </c>
      <c r="C54" s="51">
        <v>0</v>
      </c>
      <c r="D54" t="s">
        <v>1149</v>
      </c>
      <c r="E54" s="51">
        <v>3</v>
      </c>
      <c r="F54" t="s">
        <v>281</v>
      </c>
      <c r="G54" s="51">
        <v>0</v>
      </c>
      <c r="H54" t="s">
        <v>281</v>
      </c>
      <c r="I54" s="51">
        <v>0</v>
      </c>
    </row>
    <row r="55" spans="1:9" x14ac:dyDescent="0.2">
      <c r="A55" t="s">
        <v>1055</v>
      </c>
      <c r="B55" s="51" t="s">
        <v>1255</v>
      </c>
      <c r="C55" s="51">
        <v>0</v>
      </c>
      <c r="D55" t="s">
        <v>1149</v>
      </c>
      <c r="E55" s="51">
        <v>1</v>
      </c>
      <c r="F55" t="s">
        <v>275</v>
      </c>
      <c r="G55" s="51">
        <v>0</v>
      </c>
      <c r="H55" t="s">
        <v>275</v>
      </c>
      <c r="I55" s="51">
        <v>0</v>
      </c>
    </row>
    <row r="56" spans="1:9" x14ac:dyDescent="0.2">
      <c r="A56" t="s">
        <v>1093</v>
      </c>
      <c r="B56" s="51" t="s">
        <v>1256</v>
      </c>
      <c r="C56" s="51">
        <v>0</v>
      </c>
      <c r="D56" t="s">
        <v>1149</v>
      </c>
      <c r="E56" s="51">
        <v>1</v>
      </c>
      <c r="F56" t="s">
        <v>275</v>
      </c>
      <c r="G56" s="51">
        <v>0</v>
      </c>
      <c r="H56" t="s">
        <v>275</v>
      </c>
      <c r="I56" s="51">
        <v>0</v>
      </c>
    </row>
    <row r="57" spans="1:9" x14ac:dyDescent="0.2">
      <c r="A57" t="s">
        <v>1068</v>
      </c>
      <c r="B57" s="51" t="s">
        <v>1257</v>
      </c>
      <c r="C57" s="51">
        <v>0</v>
      </c>
      <c r="D57" t="s">
        <v>1149</v>
      </c>
      <c r="E57" s="51">
        <v>1</v>
      </c>
      <c r="F57" t="s">
        <v>275</v>
      </c>
      <c r="G57" s="51">
        <v>0</v>
      </c>
      <c r="H57" t="s">
        <v>275</v>
      </c>
      <c r="I57" s="51">
        <v>0</v>
      </c>
    </row>
    <row r="58" spans="1:9" x14ac:dyDescent="0.2">
      <c r="A58" t="s">
        <v>990</v>
      </c>
      <c r="B58" s="51" t="s">
        <v>1258</v>
      </c>
      <c r="C58" s="51">
        <v>0</v>
      </c>
      <c r="D58" t="s">
        <v>1149</v>
      </c>
      <c r="E58" s="51">
        <v>3</v>
      </c>
      <c r="F58" t="s">
        <v>281</v>
      </c>
      <c r="G58" s="51">
        <v>0</v>
      </c>
      <c r="H58" t="s">
        <v>281</v>
      </c>
      <c r="I58" s="51">
        <v>0</v>
      </c>
    </row>
    <row r="59" spans="1:9" x14ac:dyDescent="0.2">
      <c r="A59" t="s">
        <v>989</v>
      </c>
      <c r="B59" s="51" t="s">
        <v>1259</v>
      </c>
      <c r="C59" s="51">
        <v>0</v>
      </c>
      <c r="D59" t="s">
        <v>1149</v>
      </c>
      <c r="E59" s="51">
        <v>3</v>
      </c>
      <c r="F59" t="s">
        <v>281</v>
      </c>
      <c r="G59" s="51">
        <v>0</v>
      </c>
      <c r="H59" t="s">
        <v>281</v>
      </c>
      <c r="I59" s="51">
        <v>0</v>
      </c>
    </row>
    <row r="60" spans="1:9" x14ac:dyDescent="0.2">
      <c r="A60" t="s">
        <v>980</v>
      </c>
      <c r="B60" s="51" t="s">
        <v>1260</v>
      </c>
      <c r="C60" s="51">
        <v>0</v>
      </c>
      <c r="D60" t="s">
        <v>1149</v>
      </c>
      <c r="E60" s="51">
        <v>3</v>
      </c>
      <c r="F60" t="s">
        <v>281</v>
      </c>
      <c r="G60" s="51">
        <v>0</v>
      </c>
      <c r="H60" t="s">
        <v>281</v>
      </c>
      <c r="I60" s="51">
        <v>0</v>
      </c>
    </row>
    <row r="61" spans="1:9" x14ac:dyDescent="0.2">
      <c r="A61" t="s">
        <v>1049</v>
      </c>
      <c r="B61" s="51" t="s">
        <v>1261</v>
      </c>
      <c r="C61" s="51">
        <v>0</v>
      </c>
      <c r="D61" t="s">
        <v>1149</v>
      </c>
      <c r="E61" s="51">
        <v>1</v>
      </c>
      <c r="F61" t="s">
        <v>275</v>
      </c>
      <c r="G61" s="51">
        <v>0</v>
      </c>
      <c r="H61" t="s">
        <v>275</v>
      </c>
      <c r="I61" s="51">
        <v>0</v>
      </c>
    </row>
    <row r="62" spans="1:9" x14ac:dyDescent="0.2">
      <c r="A62" t="s">
        <v>983</v>
      </c>
      <c r="B62" s="51" t="s">
        <v>1262</v>
      </c>
      <c r="C62" s="51">
        <v>0</v>
      </c>
      <c r="D62" t="s">
        <v>1149</v>
      </c>
      <c r="E62" s="51">
        <v>3</v>
      </c>
      <c r="F62" t="s">
        <v>281</v>
      </c>
      <c r="G62" s="51">
        <v>0</v>
      </c>
      <c r="H62" t="s">
        <v>281</v>
      </c>
      <c r="I62" s="51">
        <v>0</v>
      </c>
    </row>
    <row r="63" spans="1:9" x14ac:dyDescent="0.2">
      <c r="A63" t="s">
        <v>1050</v>
      </c>
      <c r="B63" s="51" t="s">
        <v>1263</v>
      </c>
      <c r="C63" s="51">
        <v>0</v>
      </c>
      <c r="D63" t="s">
        <v>1149</v>
      </c>
      <c r="E63" s="51">
        <v>1</v>
      </c>
      <c r="F63" t="s">
        <v>275</v>
      </c>
      <c r="G63" s="51">
        <v>0</v>
      </c>
      <c r="H63" t="s">
        <v>275</v>
      </c>
      <c r="I63" s="51">
        <v>0</v>
      </c>
    </row>
    <row r="64" spans="1:9" x14ac:dyDescent="0.2">
      <c r="A64" t="s">
        <v>814</v>
      </c>
      <c r="B64" s="51" t="s">
        <v>1264</v>
      </c>
      <c r="C64" s="51">
        <v>0</v>
      </c>
      <c r="D64" t="s">
        <v>1149</v>
      </c>
      <c r="E64" s="51">
        <v>1</v>
      </c>
      <c r="F64" t="s">
        <v>275</v>
      </c>
      <c r="G64" s="51">
        <v>0</v>
      </c>
      <c r="H64" t="s">
        <v>275</v>
      </c>
      <c r="I64" s="51">
        <v>0</v>
      </c>
    </row>
    <row r="65" spans="1:9" x14ac:dyDescent="0.2">
      <c r="A65" t="s">
        <v>971</v>
      </c>
      <c r="B65" s="51" t="s">
        <v>1265</v>
      </c>
      <c r="C65" s="51">
        <v>0</v>
      </c>
      <c r="D65" t="s">
        <v>1149</v>
      </c>
      <c r="E65" s="51">
        <v>1</v>
      </c>
      <c r="F65" t="s">
        <v>275</v>
      </c>
      <c r="G65" s="51">
        <v>0</v>
      </c>
      <c r="H65" t="s">
        <v>275</v>
      </c>
      <c r="I65" s="51">
        <v>0</v>
      </c>
    </row>
    <row r="66" spans="1:9" x14ac:dyDescent="0.2">
      <c r="A66" t="s">
        <v>972</v>
      </c>
      <c r="B66" s="51" t="s">
        <v>1266</v>
      </c>
      <c r="C66" s="51">
        <v>0</v>
      </c>
      <c r="D66" t="s">
        <v>1149</v>
      </c>
      <c r="E66" s="51">
        <v>1</v>
      </c>
      <c r="F66" t="s">
        <v>275</v>
      </c>
      <c r="G66" s="51">
        <v>0</v>
      </c>
      <c r="H66" t="s">
        <v>275</v>
      </c>
      <c r="I66" s="51">
        <v>0</v>
      </c>
    </row>
    <row r="67" spans="1:9" x14ac:dyDescent="0.2">
      <c r="A67" t="s">
        <v>970</v>
      </c>
      <c r="B67" s="51" t="s">
        <v>1267</v>
      </c>
      <c r="C67" s="51">
        <v>0</v>
      </c>
      <c r="D67" t="s">
        <v>1149</v>
      </c>
      <c r="E67" s="51">
        <v>1</v>
      </c>
      <c r="F67" t="s">
        <v>275</v>
      </c>
      <c r="G67" s="51">
        <v>0</v>
      </c>
      <c r="H67" t="s">
        <v>275</v>
      </c>
      <c r="I67" s="51">
        <v>0</v>
      </c>
    </row>
    <row r="68" spans="1:9" x14ac:dyDescent="0.2">
      <c r="A68" t="s">
        <v>1097</v>
      </c>
      <c r="B68" s="51" t="s">
        <v>1268</v>
      </c>
      <c r="C68" s="51">
        <v>0</v>
      </c>
      <c r="D68" t="s">
        <v>1149</v>
      </c>
      <c r="E68" s="51">
        <v>3</v>
      </c>
      <c r="F68" t="s">
        <v>281</v>
      </c>
      <c r="G68" s="51">
        <v>0</v>
      </c>
      <c r="H68" t="s">
        <v>281</v>
      </c>
      <c r="I68" s="51">
        <v>0</v>
      </c>
    </row>
    <row r="69" spans="1:9" x14ac:dyDescent="0.2">
      <c r="A69" t="s">
        <v>1006</v>
      </c>
      <c r="B69" s="51" t="s">
        <v>1269</v>
      </c>
      <c r="C69" s="51">
        <v>0</v>
      </c>
      <c r="D69" t="s">
        <v>1149</v>
      </c>
      <c r="E69" s="51">
        <v>1</v>
      </c>
      <c r="F69" t="s">
        <v>275</v>
      </c>
      <c r="G69" s="51">
        <v>0</v>
      </c>
      <c r="H69" t="s">
        <v>275</v>
      </c>
      <c r="I69" s="51">
        <v>0</v>
      </c>
    </row>
    <row r="70" spans="1:9" x14ac:dyDescent="0.2">
      <c r="A70" t="s">
        <v>996</v>
      </c>
      <c r="B70" s="51" t="s">
        <v>1270</v>
      </c>
      <c r="C70" s="51">
        <v>0</v>
      </c>
      <c r="D70" t="s">
        <v>1149</v>
      </c>
      <c r="E70" s="51">
        <v>3</v>
      </c>
      <c r="F70" t="s">
        <v>281</v>
      </c>
      <c r="G70" s="51">
        <v>0</v>
      </c>
      <c r="H70" t="s">
        <v>281</v>
      </c>
      <c r="I70" s="51">
        <v>0</v>
      </c>
    </row>
    <row r="71" spans="1:9" x14ac:dyDescent="0.2">
      <c r="A71" t="s">
        <v>997</v>
      </c>
      <c r="B71" s="51" t="s">
        <v>1271</v>
      </c>
      <c r="C71" s="51">
        <v>0</v>
      </c>
      <c r="D71" t="s">
        <v>1149</v>
      </c>
      <c r="E71" s="51">
        <v>3</v>
      </c>
      <c r="F71" t="s">
        <v>281</v>
      </c>
      <c r="G71" s="51">
        <v>0</v>
      </c>
      <c r="H71" t="s">
        <v>281</v>
      </c>
      <c r="I71" s="51">
        <v>0</v>
      </c>
    </row>
    <row r="72" spans="1:9" x14ac:dyDescent="0.2">
      <c r="A72" t="s">
        <v>1173</v>
      </c>
      <c r="B72" s="51" t="s">
        <v>1272</v>
      </c>
      <c r="C72" s="51">
        <v>0</v>
      </c>
      <c r="D72" t="s">
        <v>1149</v>
      </c>
      <c r="E72" s="51">
        <v>3</v>
      </c>
      <c r="F72" t="s">
        <v>281</v>
      </c>
      <c r="G72" s="51">
        <v>0</v>
      </c>
      <c r="H72" t="s">
        <v>281</v>
      </c>
      <c r="I72" s="51">
        <v>0</v>
      </c>
    </row>
    <row r="73" spans="1:9" x14ac:dyDescent="0.2">
      <c r="A73" t="s">
        <v>1034</v>
      </c>
      <c r="B73" s="51" t="s">
        <v>1273</v>
      </c>
      <c r="C73" s="51">
        <v>0</v>
      </c>
      <c r="D73" t="s">
        <v>1149</v>
      </c>
      <c r="E73" s="51">
        <v>1</v>
      </c>
      <c r="F73" t="s">
        <v>275</v>
      </c>
      <c r="G73" s="51">
        <v>0</v>
      </c>
      <c r="H73" t="s">
        <v>275</v>
      </c>
      <c r="I73" s="51">
        <v>0</v>
      </c>
    </row>
    <row r="74" spans="1:9" x14ac:dyDescent="0.2">
      <c r="A74" t="s">
        <v>1023</v>
      </c>
      <c r="B74" s="51" t="s">
        <v>1274</v>
      </c>
      <c r="C74" s="51">
        <v>0</v>
      </c>
      <c r="D74" t="s">
        <v>1149</v>
      </c>
      <c r="E74" s="51">
        <v>5</v>
      </c>
      <c r="F74" t="s">
        <v>279</v>
      </c>
      <c r="G74" s="51">
        <v>0</v>
      </c>
      <c r="H74" t="s">
        <v>279</v>
      </c>
      <c r="I74" s="51">
        <v>0</v>
      </c>
    </row>
    <row r="75" spans="1:9" x14ac:dyDescent="0.2">
      <c r="A75" t="s">
        <v>1022</v>
      </c>
      <c r="B75" s="51" t="s">
        <v>1275</v>
      </c>
      <c r="C75" s="51">
        <v>0</v>
      </c>
      <c r="D75" t="s">
        <v>1149</v>
      </c>
      <c r="E75" s="51">
        <v>5</v>
      </c>
      <c r="F75" t="s">
        <v>279</v>
      </c>
      <c r="G75" s="51">
        <v>0</v>
      </c>
      <c r="H75" t="s">
        <v>279</v>
      </c>
      <c r="I75" s="51">
        <v>0</v>
      </c>
    </row>
    <row r="76" spans="1:9" x14ac:dyDescent="0.2">
      <c r="A76" t="s">
        <v>1024</v>
      </c>
      <c r="B76" s="51" t="s">
        <v>1276</v>
      </c>
      <c r="C76" s="51">
        <v>1</v>
      </c>
      <c r="D76" t="s">
        <v>1149</v>
      </c>
      <c r="E76" s="51">
        <v>3</v>
      </c>
      <c r="F76" t="s">
        <v>281</v>
      </c>
      <c r="G76" s="51">
        <v>0</v>
      </c>
      <c r="H76" t="s">
        <v>281</v>
      </c>
      <c r="I76" s="51">
        <v>0</v>
      </c>
    </row>
    <row r="77" spans="1:9" x14ac:dyDescent="0.2">
      <c r="A77" t="s">
        <v>725</v>
      </c>
      <c r="B77" s="51" t="s">
        <v>726</v>
      </c>
      <c r="C77" s="51">
        <v>0</v>
      </c>
      <c r="D77" t="s">
        <v>1149</v>
      </c>
      <c r="E77" s="51">
        <v>1</v>
      </c>
      <c r="F77" t="s">
        <v>275</v>
      </c>
      <c r="G77" s="51">
        <v>0</v>
      </c>
      <c r="H77" t="s">
        <v>275</v>
      </c>
      <c r="I77" s="51">
        <v>0</v>
      </c>
    </row>
    <row r="78" spans="1:9" x14ac:dyDescent="0.2">
      <c r="A78" t="s">
        <v>975</v>
      </c>
      <c r="B78" s="51" t="s">
        <v>1277</v>
      </c>
      <c r="C78" s="51">
        <v>0</v>
      </c>
      <c r="D78" t="s">
        <v>1149</v>
      </c>
      <c r="E78" s="51">
        <v>1</v>
      </c>
      <c r="F78" t="s">
        <v>275</v>
      </c>
      <c r="G78" s="51">
        <v>0</v>
      </c>
      <c r="H78" t="s">
        <v>275</v>
      </c>
      <c r="I78" s="51">
        <v>0</v>
      </c>
    </row>
    <row r="79" spans="1:9" x14ac:dyDescent="0.2">
      <c r="A79" t="s">
        <v>1037</v>
      </c>
      <c r="B79" s="51" t="s">
        <v>1278</v>
      </c>
      <c r="C79" s="51">
        <v>0</v>
      </c>
      <c r="D79" t="s">
        <v>1149</v>
      </c>
      <c r="E79" s="51">
        <v>1</v>
      </c>
      <c r="F79" t="s">
        <v>275</v>
      </c>
      <c r="G79" s="51">
        <v>0</v>
      </c>
      <c r="H79" t="s">
        <v>275</v>
      </c>
      <c r="I79" s="51">
        <v>0</v>
      </c>
    </row>
    <row r="80" spans="1:9" x14ac:dyDescent="0.2">
      <c r="A80" t="s">
        <v>746</v>
      </c>
      <c r="B80" s="51" t="s">
        <v>747</v>
      </c>
      <c r="C80" s="51">
        <v>0</v>
      </c>
      <c r="D80" t="s">
        <v>1149</v>
      </c>
      <c r="E80" s="51">
        <v>1</v>
      </c>
      <c r="F80" t="s">
        <v>275</v>
      </c>
      <c r="G80" s="51">
        <v>0</v>
      </c>
      <c r="H80" t="s">
        <v>275</v>
      </c>
      <c r="I80" s="51">
        <v>0</v>
      </c>
    </row>
    <row r="81" spans="1:9" x14ac:dyDescent="0.2">
      <c r="A81" t="s">
        <v>744</v>
      </c>
      <c r="B81" s="51" t="s">
        <v>745</v>
      </c>
      <c r="C81" s="51">
        <v>0</v>
      </c>
      <c r="D81" t="s">
        <v>1149</v>
      </c>
      <c r="E81" s="51">
        <v>1</v>
      </c>
      <c r="F81" t="s">
        <v>275</v>
      </c>
      <c r="G81" s="51">
        <v>0</v>
      </c>
      <c r="H81" t="s">
        <v>275</v>
      </c>
      <c r="I81" s="51">
        <v>0</v>
      </c>
    </row>
    <row r="82" spans="1:9" x14ac:dyDescent="0.2">
      <c r="A82" t="s">
        <v>1015</v>
      </c>
      <c r="B82" s="51" t="s">
        <v>1279</v>
      </c>
      <c r="C82" s="51">
        <v>1</v>
      </c>
      <c r="D82" t="s">
        <v>1149</v>
      </c>
      <c r="E82" s="51">
        <v>3</v>
      </c>
      <c r="F82" t="s">
        <v>281</v>
      </c>
      <c r="G82" s="51">
        <v>0</v>
      </c>
      <c r="H82" t="s">
        <v>281</v>
      </c>
      <c r="I82" s="51">
        <v>0</v>
      </c>
    </row>
    <row r="83" spans="1:9" x14ac:dyDescent="0.2">
      <c r="A83" t="s">
        <v>969</v>
      </c>
      <c r="B83" s="51" t="s">
        <v>1280</v>
      </c>
      <c r="C83" s="51">
        <v>0</v>
      </c>
      <c r="D83" t="s">
        <v>1149</v>
      </c>
      <c r="E83" s="51">
        <v>1</v>
      </c>
      <c r="F83" t="s">
        <v>275</v>
      </c>
      <c r="G83" s="51">
        <v>0</v>
      </c>
      <c r="H83" t="s">
        <v>275</v>
      </c>
      <c r="I83" s="51">
        <v>0</v>
      </c>
    </row>
    <row r="84" spans="1:9" x14ac:dyDescent="0.2">
      <c r="A84" t="s">
        <v>1040</v>
      </c>
      <c r="B84" s="51" t="s">
        <v>1281</v>
      </c>
      <c r="C84" s="51">
        <v>0</v>
      </c>
      <c r="D84" t="s">
        <v>1149</v>
      </c>
      <c r="E84" s="51">
        <v>1</v>
      </c>
      <c r="F84" t="s">
        <v>275</v>
      </c>
      <c r="G84" s="51">
        <v>0</v>
      </c>
      <c r="H84" t="s">
        <v>275</v>
      </c>
      <c r="I84" s="51">
        <v>0</v>
      </c>
    </row>
    <row r="85" spans="1:9" x14ac:dyDescent="0.2">
      <c r="A85" t="s">
        <v>1039</v>
      </c>
      <c r="B85" s="51" t="s">
        <v>1282</v>
      </c>
      <c r="C85" s="51">
        <v>0</v>
      </c>
      <c r="D85" t="s">
        <v>1149</v>
      </c>
      <c r="E85" s="51">
        <v>1</v>
      </c>
      <c r="F85" t="s">
        <v>275</v>
      </c>
      <c r="G85" s="51">
        <v>0</v>
      </c>
      <c r="H85" t="s">
        <v>275</v>
      </c>
      <c r="I85" s="51">
        <v>0</v>
      </c>
    </row>
    <row r="86" spans="1:9" x14ac:dyDescent="0.2">
      <c r="A86" t="s">
        <v>1041</v>
      </c>
      <c r="B86" s="51" t="s">
        <v>1283</v>
      </c>
      <c r="C86" s="51">
        <v>0</v>
      </c>
      <c r="D86" t="s">
        <v>1149</v>
      </c>
      <c r="E86" s="51">
        <v>1</v>
      </c>
      <c r="F86" t="s">
        <v>275</v>
      </c>
      <c r="G86" s="51">
        <v>0</v>
      </c>
      <c r="H86" t="s">
        <v>275</v>
      </c>
      <c r="I86" s="51">
        <v>0</v>
      </c>
    </row>
    <row r="87" spans="1:9" x14ac:dyDescent="0.2">
      <c r="A87" t="s">
        <v>1042</v>
      </c>
      <c r="B87" s="51" t="s">
        <v>1284</v>
      </c>
      <c r="C87" s="51">
        <v>0</v>
      </c>
      <c r="D87" t="s">
        <v>1149</v>
      </c>
      <c r="E87" s="51">
        <v>1</v>
      </c>
      <c r="F87" t="s">
        <v>275</v>
      </c>
      <c r="G87" s="51">
        <v>0</v>
      </c>
      <c r="H87" t="s">
        <v>275</v>
      </c>
      <c r="I87" s="51">
        <v>0</v>
      </c>
    </row>
    <row r="88" spans="1:9" x14ac:dyDescent="0.2">
      <c r="A88" t="s">
        <v>1038</v>
      </c>
      <c r="B88" s="51" t="s">
        <v>1285</v>
      </c>
      <c r="C88" s="51">
        <v>0</v>
      </c>
      <c r="D88" t="s">
        <v>1149</v>
      </c>
      <c r="E88" s="51">
        <v>3</v>
      </c>
      <c r="F88" t="s">
        <v>281</v>
      </c>
      <c r="G88" s="51">
        <v>0</v>
      </c>
      <c r="H88" t="s">
        <v>281</v>
      </c>
      <c r="I88" s="51">
        <v>0</v>
      </c>
    </row>
    <row r="89" spans="1:9" x14ac:dyDescent="0.2">
      <c r="A89" t="s">
        <v>1174</v>
      </c>
      <c r="B89" s="51" t="s">
        <v>1286</v>
      </c>
      <c r="C89" s="51">
        <v>0</v>
      </c>
      <c r="D89" t="s">
        <v>1149</v>
      </c>
      <c r="E89" s="51">
        <v>1</v>
      </c>
      <c r="F89" t="s">
        <v>275</v>
      </c>
      <c r="G89" s="51">
        <v>0</v>
      </c>
      <c r="H89" t="s">
        <v>275</v>
      </c>
      <c r="I89" s="51">
        <v>0</v>
      </c>
    </row>
    <row r="90" spans="1:9" x14ac:dyDescent="0.2">
      <c r="A90" t="s">
        <v>1008</v>
      </c>
      <c r="B90" s="51" t="s">
        <v>1287</v>
      </c>
      <c r="C90" s="51">
        <v>1</v>
      </c>
      <c r="D90" t="s">
        <v>1149</v>
      </c>
      <c r="E90" s="51">
        <v>3</v>
      </c>
      <c r="F90" t="s">
        <v>281</v>
      </c>
      <c r="G90" s="51">
        <v>0</v>
      </c>
      <c r="H90" t="s">
        <v>281</v>
      </c>
      <c r="I90" s="51">
        <v>0</v>
      </c>
    </row>
    <row r="91" spans="1:9" x14ac:dyDescent="0.2">
      <c r="A91" t="s">
        <v>1175</v>
      </c>
      <c r="B91" s="51" t="s">
        <v>1288</v>
      </c>
      <c r="C91" s="51">
        <v>0</v>
      </c>
      <c r="D91" t="s">
        <v>1149</v>
      </c>
      <c r="E91" s="51">
        <v>1</v>
      </c>
      <c r="F91" t="s">
        <v>275</v>
      </c>
      <c r="G91" s="51">
        <v>0</v>
      </c>
      <c r="H91" t="s">
        <v>275</v>
      </c>
      <c r="I91" s="51">
        <v>0</v>
      </c>
    </row>
    <row r="92" spans="1:9" x14ac:dyDescent="0.2">
      <c r="A92" t="s">
        <v>806</v>
      </c>
      <c r="B92" s="51" t="s">
        <v>1289</v>
      </c>
      <c r="C92" s="51">
        <v>0</v>
      </c>
      <c r="D92" t="s">
        <v>1149</v>
      </c>
      <c r="E92" s="51">
        <v>3</v>
      </c>
      <c r="F92" t="s">
        <v>281</v>
      </c>
      <c r="G92" s="51">
        <v>0</v>
      </c>
      <c r="H92" t="s">
        <v>281</v>
      </c>
      <c r="I92" s="51">
        <v>0</v>
      </c>
    </row>
    <row r="93" spans="1:9" x14ac:dyDescent="0.2">
      <c r="A93" t="s">
        <v>1005</v>
      </c>
      <c r="B93" s="51" t="s">
        <v>1290</v>
      </c>
      <c r="C93" s="51">
        <v>0</v>
      </c>
      <c r="D93" t="s">
        <v>1149</v>
      </c>
      <c r="E93" s="51">
        <v>1</v>
      </c>
      <c r="F93" t="s">
        <v>275</v>
      </c>
      <c r="G93" s="51">
        <v>0</v>
      </c>
      <c r="H93" t="s">
        <v>275</v>
      </c>
      <c r="I93" s="51">
        <v>0</v>
      </c>
    </row>
    <row r="94" spans="1:9" x14ac:dyDescent="0.2">
      <c r="A94" t="s">
        <v>906</v>
      </c>
      <c r="B94" s="51" t="s">
        <v>1291</v>
      </c>
      <c r="C94" s="51">
        <v>0</v>
      </c>
      <c r="D94" t="s">
        <v>1149</v>
      </c>
      <c r="E94" s="51">
        <v>1</v>
      </c>
      <c r="F94" t="s">
        <v>275</v>
      </c>
      <c r="G94" s="51">
        <v>0</v>
      </c>
      <c r="H94" t="s">
        <v>275</v>
      </c>
      <c r="I94" s="51">
        <v>0</v>
      </c>
    </row>
    <row r="95" spans="1:9" x14ac:dyDescent="0.2">
      <c r="A95" t="s">
        <v>729</v>
      </c>
      <c r="B95" s="51" t="s">
        <v>730</v>
      </c>
      <c r="C95" s="51">
        <v>0</v>
      </c>
      <c r="D95" t="s">
        <v>1149</v>
      </c>
      <c r="E95" s="51">
        <v>5</v>
      </c>
      <c r="F95" t="s">
        <v>731</v>
      </c>
      <c r="G95" s="51">
        <v>1</v>
      </c>
      <c r="H95" t="s">
        <v>279</v>
      </c>
      <c r="I95" s="51">
        <v>0</v>
      </c>
    </row>
    <row r="96" spans="1:9" x14ac:dyDescent="0.2">
      <c r="A96" t="s">
        <v>881</v>
      </c>
      <c r="B96" s="51" t="s">
        <v>1292</v>
      </c>
      <c r="C96" s="51">
        <v>0</v>
      </c>
      <c r="D96" t="s">
        <v>1149</v>
      </c>
      <c r="E96" s="51">
        <v>1</v>
      </c>
      <c r="F96" t="s">
        <v>275</v>
      </c>
      <c r="G96" s="51">
        <v>0</v>
      </c>
      <c r="H96" t="s">
        <v>275</v>
      </c>
      <c r="I96" s="51">
        <v>0</v>
      </c>
    </row>
    <row r="97" spans="1:9" x14ac:dyDescent="0.2">
      <c r="A97" t="s">
        <v>915</v>
      </c>
      <c r="B97" s="51" t="s">
        <v>1293</v>
      </c>
      <c r="C97" s="51">
        <v>0</v>
      </c>
      <c r="D97" t="s">
        <v>1149</v>
      </c>
      <c r="E97" s="51">
        <v>3</v>
      </c>
      <c r="F97" t="s">
        <v>281</v>
      </c>
      <c r="G97" s="51">
        <v>0</v>
      </c>
      <c r="H97" t="s">
        <v>281</v>
      </c>
      <c r="I97" s="51">
        <v>0</v>
      </c>
    </row>
    <row r="98" spans="1:9" x14ac:dyDescent="0.2">
      <c r="A98" t="s">
        <v>914</v>
      </c>
      <c r="B98" s="51" t="s">
        <v>1294</v>
      </c>
      <c r="C98" s="51">
        <v>0</v>
      </c>
      <c r="D98" t="s">
        <v>1149</v>
      </c>
      <c r="E98" s="51">
        <v>5</v>
      </c>
      <c r="F98" t="s">
        <v>279</v>
      </c>
      <c r="G98" s="51">
        <v>0</v>
      </c>
      <c r="H98" t="s">
        <v>279</v>
      </c>
      <c r="I98" s="51">
        <v>0</v>
      </c>
    </row>
    <row r="99" spans="1:9" x14ac:dyDescent="0.2">
      <c r="A99" t="s">
        <v>882</v>
      </c>
      <c r="B99" s="51" t="s">
        <v>1295</v>
      </c>
      <c r="C99" s="51">
        <v>0</v>
      </c>
      <c r="D99" t="s">
        <v>1149</v>
      </c>
      <c r="E99" s="51">
        <v>1</v>
      </c>
      <c r="F99" t="s">
        <v>275</v>
      </c>
      <c r="G99" s="51">
        <v>0</v>
      </c>
      <c r="H99" t="s">
        <v>275</v>
      </c>
      <c r="I99" s="51">
        <v>0</v>
      </c>
    </row>
    <row r="100" spans="1:9" x14ac:dyDescent="0.2">
      <c r="A100" t="s">
        <v>917</v>
      </c>
      <c r="B100" s="51" t="s">
        <v>1296</v>
      </c>
      <c r="C100" s="51">
        <v>0</v>
      </c>
      <c r="D100" t="s">
        <v>1149</v>
      </c>
      <c r="E100" s="51">
        <v>3</v>
      </c>
      <c r="F100" t="s">
        <v>281</v>
      </c>
      <c r="G100" s="51">
        <v>0</v>
      </c>
      <c r="H100" t="s">
        <v>281</v>
      </c>
      <c r="I100" s="51">
        <v>0</v>
      </c>
    </row>
    <row r="101" spans="1:9" x14ac:dyDescent="0.2">
      <c r="A101" t="s">
        <v>916</v>
      </c>
      <c r="B101" s="51" t="s">
        <v>1297</v>
      </c>
      <c r="C101" s="51">
        <v>0</v>
      </c>
      <c r="D101" t="s">
        <v>1149</v>
      </c>
      <c r="E101" s="51">
        <v>3</v>
      </c>
      <c r="F101" t="s">
        <v>281</v>
      </c>
      <c r="G101" s="51">
        <v>0</v>
      </c>
      <c r="H101" t="s">
        <v>281</v>
      </c>
      <c r="I101" s="51">
        <v>0</v>
      </c>
    </row>
    <row r="102" spans="1:9" x14ac:dyDescent="0.2">
      <c r="A102" t="s">
        <v>999</v>
      </c>
      <c r="B102" s="51" t="s">
        <v>1298</v>
      </c>
      <c r="C102" s="51">
        <v>0</v>
      </c>
      <c r="D102" t="s">
        <v>1149</v>
      </c>
      <c r="E102" s="51">
        <v>3</v>
      </c>
      <c r="F102" t="s">
        <v>281</v>
      </c>
      <c r="G102" s="51">
        <v>0</v>
      </c>
      <c r="H102" t="s">
        <v>281</v>
      </c>
      <c r="I102" s="51">
        <v>0</v>
      </c>
    </row>
    <row r="103" spans="1:9" x14ac:dyDescent="0.2">
      <c r="A103" t="s">
        <v>1016</v>
      </c>
      <c r="B103" s="51" t="s">
        <v>1299</v>
      </c>
      <c r="C103" s="51">
        <v>0</v>
      </c>
      <c r="D103" t="s">
        <v>1149</v>
      </c>
      <c r="E103" s="51">
        <v>3</v>
      </c>
      <c r="F103" t="s">
        <v>281</v>
      </c>
      <c r="G103" s="51">
        <v>0</v>
      </c>
      <c r="H103" t="s">
        <v>281</v>
      </c>
      <c r="I103" s="51">
        <v>0</v>
      </c>
    </row>
    <row r="104" spans="1:9" x14ac:dyDescent="0.2">
      <c r="A104" t="s">
        <v>833</v>
      </c>
      <c r="B104" s="51" t="s">
        <v>1300</v>
      </c>
      <c r="C104" s="51">
        <v>0</v>
      </c>
      <c r="D104" t="s">
        <v>1149</v>
      </c>
      <c r="E104" s="51">
        <v>1</v>
      </c>
      <c r="F104" t="s">
        <v>275</v>
      </c>
      <c r="G104" s="51">
        <v>0</v>
      </c>
      <c r="H104" t="s">
        <v>275</v>
      </c>
      <c r="I104" s="51">
        <v>0</v>
      </c>
    </row>
    <row r="105" spans="1:9" x14ac:dyDescent="0.2">
      <c r="A105" t="s">
        <v>715</v>
      </c>
      <c r="B105" s="51" t="s">
        <v>716</v>
      </c>
      <c r="C105" s="51">
        <v>0</v>
      </c>
      <c r="D105" t="s">
        <v>1149</v>
      </c>
      <c r="E105" s="51">
        <v>1</v>
      </c>
      <c r="F105" t="s">
        <v>275</v>
      </c>
      <c r="G105" s="51">
        <v>0</v>
      </c>
      <c r="H105" t="s">
        <v>275</v>
      </c>
      <c r="I105" s="51">
        <v>0</v>
      </c>
    </row>
    <row r="106" spans="1:9" x14ac:dyDescent="0.2">
      <c r="A106" t="s">
        <v>707</v>
      </c>
      <c r="B106" s="51" t="s">
        <v>708</v>
      </c>
      <c r="C106" s="51">
        <v>0</v>
      </c>
      <c r="D106" t="s">
        <v>1149</v>
      </c>
      <c r="E106" s="51">
        <v>1</v>
      </c>
      <c r="F106" t="s">
        <v>275</v>
      </c>
      <c r="G106" s="51">
        <v>0</v>
      </c>
      <c r="H106" t="s">
        <v>275</v>
      </c>
      <c r="I106" s="51">
        <v>0</v>
      </c>
    </row>
    <row r="107" spans="1:9" x14ac:dyDescent="0.2">
      <c r="A107" t="s">
        <v>709</v>
      </c>
      <c r="B107" s="51" t="s">
        <v>710</v>
      </c>
      <c r="C107" s="51">
        <v>0</v>
      </c>
      <c r="D107" t="s">
        <v>1149</v>
      </c>
      <c r="E107" s="51">
        <v>1</v>
      </c>
      <c r="F107" t="s">
        <v>275</v>
      </c>
      <c r="G107" s="51">
        <v>0</v>
      </c>
      <c r="H107" t="s">
        <v>275</v>
      </c>
      <c r="I107" s="51">
        <v>0</v>
      </c>
    </row>
    <row r="108" spans="1:9" x14ac:dyDescent="0.2">
      <c r="A108" t="s">
        <v>713</v>
      </c>
      <c r="B108" s="51" t="s">
        <v>714</v>
      </c>
      <c r="C108" s="51">
        <v>0</v>
      </c>
      <c r="D108" t="s">
        <v>1149</v>
      </c>
      <c r="E108" s="51">
        <v>1</v>
      </c>
      <c r="F108" t="s">
        <v>275</v>
      </c>
      <c r="G108" s="51">
        <v>0</v>
      </c>
      <c r="H108" t="s">
        <v>275</v>
      </c>
      <c r="I108" s="51">
        <v>0</v>
      </c>
    </row>
    <row r="109" spans="1:9" x14ac:dyDescent="0.2">
      <c r="A109" t="s">
        <v>705</v>
      </c>
      <c r="B109" s="51" t="s">
        <v>706</v>
      </c>
      <c r="C109" s="51">
        <v>0</v>
      </c>
      <c r="D109" t="s">
        <v>1149</v>
      </c>
      <c r="E109" s="51">
        <v>1</v>
      </c>
      <c r="F109" t="s">
        <v>275</v>
      </c>
      <c r="G109" s="51">
        <v>0</v>
      </c>
      <c r="H109" t="s">
        <v>275</v>
      </c>
      <c r="I109" s="51">
        <v>0</v>
      </c>
    </row>
    <row r="110" spans="1:9" x14ac:dyDescent="0.2">
      <c r="A110" t="s">
        <v>717</v>
      </c>
      <c r="B110" s="51" t="s">
        <v>718</v>
      </c>
      <c r="C110" s="51">
        <v>0</v>
      </c>
      <c r="D110" t="s">
        <v>1149</v>
      </c>
      <c r="E110" s="51">
        <v>1</v>
      </c>
      <c r="F110" t="s">
        <v>275</v>
      </c>
      <c r="G110" s="51">
        <v>0</v>
      </c>
      <c r="H110" t="s">
        <v>275</v>
      </c>
      <c r="I110" s="51">
        <v>0</v>
      </c>
    </row>
    <row r="111" spans="1:9" x14ac:dyDescent="0.2">
      <c r="A111" t="s">
        <v>711</v>
      </c>
      <c r="B111" s="51" t="s">
        <v>712</v>
      </c>
      <c r="C111" s="51">
        <v>0</v>
      </c>
      <c r="D111" t="s">
        <v>1149</v>
      </c>
      <c r="E111" s="51">
        <v>1</v>
      </c>
      <c r="F111" t="s">
        <v>275</v>
      </c>
      <c r="G111" s="51">
        <v>0</v>
      </c>
      <c r="H111" t="s">
        <v>275</v>
      </c>
      <c r="I111" s="51">
        <v>0</v>
      </c>
    </row>
    <row r="112" spans="1:9" x14ac:dyDescent="0.2">
      <c r="A112" t="s">
        <v>676</v>
      </c>
      <c r="B112" s="51" t="s">
        <v>677</v>
      </c>
      <c r="C112" s="51">
        <v>0</v>
      </c>
      <c r="D112" t="s">
        <v>1149</v>
      </c>
      <c r="E112" s="51">
        <v>1</v>
      </c>
      <c r="F112" t="s">
        <v>275</v>
      </c>
      <c r="G112" s="51">
        <v>0</v>
      </c>
      <c r="H112" t="s">
        <v>275</v>
      </c>
      <c r="I112" s="51">
        <v>0</v>
      </c>
    </row>
    <row r="113" spans="1:9" x14ac:dyDescent="0.2">
      <c r="A113" t="s">
        <v>680</v>
      </c>
      <c r="B113" s="51" t="s">
        <v>681</v>
      </c>
      <c r="C113" s="51">
        <v>0</v>
      </c>
      <c r="D113" t="s">
        <v>1149</v>
      </c>
      <c r="E113" s="51">
        <v>1</v>
      </c>
      <c r="F113" t="s">
        <v>275</v>
      </c>
      <c r="G113" s="51">
        <v>0</v>
      </c>
      <c r="H113" t="s">
        <v>275</v>
      </c>
      <c r="I113" s="51">
        <v>0</v>
      </c>
    </row>
    <row r="114" spans="1:9" x14ac:dyDescent="0.2">
      <c r="A114" t="s">
        <v>1176</v>
      </c>
      <c r="B114" s="51" t="s">
        <v>675</v>
      </c>
      <c r="C114" s="51">
        <v>0</v>
      </c>
      <c r="D114" t="s">
        <v>1149</v>
      </c>
      <c r="E114" s="51">
        <v>1</v>
      </c>
      <c r="F114" t="s">
        <v>275</v>
      </c>
      <c r="G114" s="51">
        <v>0</v>
      </c>
      <c r="H114" t="s">
        <v>275</v>
      </c>
      <c r="I114" s="51">
        <v>0</v>
      </c>
    </row>
    <row r="115" spans="1:9" x14ac:dyDescent="0.2">
      <c r="A115" t="s">
        <v>1177</v>
      </c>
      <c r="B115" s="51" t="s">
        <v>692</v>
      </c>
      <c r="C115" s="51">
        <v>0</v>
      </c>
      <c r="D115" t="s">
        <v>1149</v>
      </c>
      <c r="E115" s="51">
        <v>1</v>
      </c>
      <c r="F115" t="s">
        <v>275</v>
      </c>
      <c r="G115" s="51">
        <v>0</v>
      </c>
      <c r="H115" t="s">
        <v>275</v>
      </c>
      <c r="I115" s="51">
        <v>0</v>
      </c>
    </row>
    <row r="116" spans="1:9" x14ac:dyDescent="0.2">
      <c r="A116" t="s">
        <v>701</v>
      </c>
      <c r="B116" s="51" t="s">
        <v>702</v>
      </c>
      <c r="C116" s="51">
        <v>0</v>
      </c>
      <c r="D116" t="s">
        <v>1149</v>
      </c>
      <c r="E116" s="51">
        <v>5</v>
      </c>
      <c r="F116" t="s">
        <v>279</v>
      </c>
      <c r="G116" s="51">
        <v>0</v>
      </c>
      <c r="H116" t="s">
        <v>279</v>
      </c>
      <c r="I116" s="51">
        <v>0</v>
      </c>
    </row>
    <row r="117" spans="1:9" x14ac:dyDescent="0.2">
      <c r="A117" t="s">
        <v>693</v>
      </c>
      <c r="B117" s="51" t="s">
        <v>694</v>
      </c>
      <c r="C117" s="51">
        <v>0</v>
      </c>
      <c r="D117" t="s">
        <v>1149</v>
      </c>
      <c r="E117" s="51">
        <v>1</v>
      </c>
      <c r="F117" t="s">
        <v>275</v>
      </c>
      <c r="G117" s="51">
        <v>0</v>
      </c>
      <c r="H117" t="s">
        <v>275</v>
      </c>
      <c r="I117" s="51">
        <v>0</v>
      </c>
    </row>
    <row r="118" spans="1:9" x14ac:dyDescent="0.2">
      <c r="A118" t="s">
        <v>690</v>
      </c>
      <c r="B118" s="51" t="s">
        <v>691</v>
      </c>
      <c r="C118" s="51">
        <v>0</v>
      </c>
      <c r="D118" t="s">
        <v>1149</v>
      </c>
      <c r="E118" s="51">
        <v>1</v>
      </c>
      <c r="F118" t="s">
        <v>275</v>
      </c>
      <c r="G118" s="51">
        <v>0</v>
      </c>
      <c r="H118" t="s">
        <v>275</v>
      </c>
      <c r="I118" s="51">
        <v>0</v>
      </c>
    </row>
    <row r="119" spans="1:9" x14ac:dyDescent="0.2">
      <c r="A119" t="s">
        <v>697</v>
      </c>
      <c r="B119" s="51" t="s">
        <v>698</v>
      </c>
      <c r="C119" s="51">
        <v>0</v>
      </c>
      <c r="D119" t="s">
        <v>1149</v>
      </c>
      <c r="E119" s="51">
        <v>3</v>
      </c>
      <c r="F119" t="s">
        <v>281</v>
      </c>
      <c r="G119" s="51">
        <v>0</v>
      </c>
      <c r="H119" t="s">
        <v>281</v>
      </c>
      <c r="I119" s="51">
        <v>0</v>
      </c>
    </row>
    <row r="120" spans="1:9" x14ac:dyDescent="0.2">
      <c r="A120" t="s">
        <v>678</v>
      </c>
      <c r="B120" s="51" t="s">
        <v>679</v>
      </c>
      <c r="C120" s="51">
        <v>0</v>
      </c>
      <c r="D120" t="s">
        <v>1149</v>
      </c>
      <c r="E120" s="51">
        <v>1</v>
      </c>
      <c r="F120" t="s">
        <v>275</v>
      </c>
      <c r="G120" s="51">
        <v>0</v>
      </c>
      <c r="H120" t="s">
        <v>275</v>
      </c>
      <c r="I120" s="51">
        <v>0</v>
      </c>
    </row>
    <row r="121" spans="1:9" x14ac:dyDescent="0.2">
      <c r="A121" t="s">
        <v>686</v>
      </c>
      <c r="B121" s="51" t="s">
        <v>687</v>
      </c>
      <c r="C121" s="51">
        <v>0</v>
      </c>
      <c r="D121" t="s">
        <v>1149</v>
      </c>
      <c r="E121" s="51">
        <v>1</v>
      </c>
      <c r="F121" t="s">
        <v>275</v>
      </c>
      <c r="G121" s="51">
        <v>0</v>
      </c>
      <c r="H121" t="s">
        <v>275</v>
      </c>
      <c r="I121" s="51">
        <v>0</v>
      </c>
    </row>
    <row r="122" spans="1:9" x14ac:dyDescent="0.2">
      <c r="A122" t="s">
        <v>695</v>
      </c>
      <c r="B122" s="51" t="s">
        <v>696</v>
      </c>
      <c r="C122" s="51">
        <v>0</v>
      </c>
      <c r="D122" t="s">
        <v>1149</v>
      </c>
      <c r="E122" s="51">
        <v>1</v>
      </c>
      <c r="F122" t="s">
        <v>275</v>
      </c>
      <c r="G122" s="51">
        <v>0</v>
      </c>
      <c r="H122" t="s">
        <v>275</v>
      </c>
      <c r="I122" s="51">
        <v>0</v>
      </c>
    </row>
    <row r="123" spans="1:9" x14ac:dyDescent="0.2">
      <c r="A123" t="s">
        <v>699</v>
      </c>
      <c r="B123" s="51" t="s">
        <v>700</v>
      </c>
      <c r="C123" s="51">
        <v>0</v>
      </c>
      <c r="D123" t="s">
        <v>1149</v>
      </c>
      <c r="E123" s="51">
        <v>1</v>
      </c>
      <c r="F123" t="s">
        <v>275</v>
      </c>
      <c r="G123" s="51">
        <v>0</v>
      </c>
      <c r="H123" t="s">
        <v>275</v>
      </c>
      <c r="I123" s="51">
        <v>0</v>
      </c>
    </row>
    <row r="124" spans="1:9" x14ac:dyDescent="0.2">
      <c r="A124" t="s">
        <v>684</v>
      </c>
      <c r="B124" s="51" t="s">
        <v>685</v>
      </c>
      <c r="C124" s="51">
        <v>0</v>
      </c>
      <c r="D124" t="s">
        <v>1149</v>
      </c>
      <c r="E124" s="51">
        <v>1</v>
      </c>
      <c r="F124" t="s">
        <v>275</v>
      </c>
      <c r="G124" s="51">
        <v>0</v>
      </c>
      <c r="H124" t="s">
        <v>275</v>
      </c>
      <c r="I124" s="51">
        <v>0</v>
      </c>
    </row>
    <row r="125" spans="1:9" x14ac:dyDescent="0.2">
      <c r="A125" t="s">
        <v>719</v>
      </c>
      <c r="B125" s="51" t="s">
        <v>720</v>
      </c>
      <c r="C125" s="51">
        <v>0</v>
      </c>
      <c r="D125" t="s">
        <v>1149</v>
      </c>
      <c r="E125" s="51">
        <v>1</v>
      </c>
      <c r="F125" t="s">
        <v>275</v>
      </c>
      <c r="G125" s="51">
        <v>0</v>
      </c>
      <c r="H125" t="s">
        <v>275</v>
      </c>
      <c r="I125" s="51">
        <v>0</v>
      </c>
    </row>
    <row r="126" spans="1:9" x14ac:dyDescent="0.2">
      <c r="A126" t="s">
        <v>682</v>
      </c>
      <c r="B126" s="51" t="s">
        <v>683</v>
      </c>
      <c r="C126" s="51">
        <v>0</v>
      </c>
      <c r="D126" t="s">
        <v>1149</v>
      </c>
      <c r="E126" s="51">
        <v>5</v>
      </c>
      <c r="F126" t="s">
        <v>279</v>
      </c>
      <c r="G126" s="51">
        <v>0</v>
      </c>
      <c r="H126" t="s">
        <v>279</v>
      </c>
      <c r="I126" s="51">
        <v>0</v>
      </c>
    </row>
    <row r="127" spans="1:9" x14ac:dyDescent="0.2">
      <c r="A127" t="s">
        <v>688</v>
      </c>
      <c r="B127" s="51" t="s">
        <v>689</v>
      </c>
      <c r="C127" s="51">
        <v>0</v>
      </c>
      <c r="D127" t="s">
        <v>1149</v>
      </c>
      <c r="E127" s="51">
        <v>1</v>
      </c>
      <c r="F127" t="s">
        <v>275</v>
      </c>
      <c r="G127" s="51">
        <v>0</v>
      </c>
      <c r="H127" t="s">
        <v>275</v>
      </c>
      <c r="I127" s="51">
        <v>0</v>
      </c>
    </row>
    <row r="128" spans="1:9" x14ac:dyDescent="0.2">
      <c r="A128" t="s">
        <v>804</v>
      </c>
      <c r="B128" s="51" t="s">
        <v>1301</v>
      </c>
      <c r="C128" s="51">
        <v>0</v>
      </c>
      <c r="D128" t="s">
        <v>1149</v>
      </c>
      <c r="E128" s="51">
        <v>3</v>
      </c>
      <c r="F128" t="s">
        <v>281</v>
      </c>
      <c r="G128" s="51">
        <v>0</v>
      </c>
      <c r="H128" t="s">
        <v>281</v>
      </c>
      <c r="I128" s="51">
        <v>0</v>
      </c>
    </row>
    <row r="129" spans="1:9" x14ac:dyDescent="0.2">
      <c r="A129" t="s">
        <v>918</v>
      </c>
      <c r="B129" s="51" t="s">
        <v>1302</v>
      </c>
      <c r="C129" s="51">
        <v>0</v>
      </c>
      <c r="D129" t="s">
        <v>1149</v>
      </c>
      <c r="E129" s="51">
        <v>1</v>
      </c>
      <c r="F129" t="s">
        <v>275</v>
      </c>
      <c r="G129" s="51">
        <v>0</v>
      </c>
      <c r="H129" t="s">
        <v>275</v>
      </c>
      <c r="I129" s="51">
        <v>0</v>
      </c>
    </row>
    <row r="130" spans="1:9" x14ac:dyDescent="0.2">
      <c r="A130" t="s">
        <v>788</v>
      </c>
      <c r="B130" s="51" t="s">
        <v>1303</v>
      </c>
      <c r="C130" s="51">
        <v>0</v>
      </c>
      <c r="D130" t="s">
        <v>1149</v>
      </c>
      <c r="E130" s="51">
        <v>1</v>
      </c>
      <c r="F130" t="s">
        <v>275</v>
      </c>
      <c r="G130" s="51">
        <v>0</v>
      </c>
      <c r="H130" t="s">
        <v>275</v>
      </c>
      <c r="I130" s="51">
        <v>0</v>
      </c>
    </row>
    <row r="131" spans="1:9" x14ac:dyDescent="0.2">
      <c r="A131" t="s">
        <v>985</v>
      </c>
      <c r="B131" s="51" t="s">
        <v>1304</v>
      </c>
      <c r="C131" s="51">
        <v>0</v>
      </c>
      <c r="D131" t="s">
        <v>1149</v>
      </c>
      <c r="E131" s="51">
        <v>1</v>
      </c>
      <c r="F131" t="s">
        <v>275</v>
      </c>
      <c r="G131" s="51">
        <v>0</v>
      </c>
      <c r="H131" t="s">
        <v>275</v>
      </c>
      <c r="I131" s="51">
        <v>0</v>
      </c>
    </row>
    <row r="132" spans="1:9" x14ac:dyDescent="0.2">
      <c r="A132" t="s">
        <v>984</v>
      </c>
      <c r="B132" s="51" t="s">
        <v>1305</v>
      </c>
      <c r="C132" s="51">
        <v>0</v>
      </c>
      <c r="D132" t="s">
        <v>1149</v>
      </c>
      <c r="E132" s="51">
        <v>1</v>
      </c>
      <c r="F132" t="s">
        <v>275</v>
      </c>
      <c r="G132" s="51">
        <v>0</v>
      </c>
      <c r="H132" t="s">
        <v>275</v>
      </c>
      <c r="I132" s="51">
        <v>0</v>
      </c>
    </row>
    <row r="133" spans="1:9" x14ac:dyDescent="0.2">
      <c r="A133" t="s">
        <v>986</v>
      </c>
      <c r="B133" s="51" t="s">
        <v>1306</v>
      </c>
      <c r="C133" s="51">
        <v>0</v>
      </c>
      <c r="D133" t="s">
        <v>1149</v>
      </c>
      <c r="E133" s="51">
        <v>1</v>
      </c>
      <c r="F133" t="s">
        <v>275</v>
      </c>
      <c r="G133" s="51">
        <v>0</v>
      </c>
      <c r="H133" t="s">
        <v>275</v>
      </c>
      <c r="I133" s="51">
        <v>0</v>
      </c>
    </row>
    <row r="134" spans="1:9" x14ac:dyDescent="0.2">
      <c r="A134" t="s">
        <v>988</v>
      </c>
      <c r="B134" s="51" t="s">
        <v>1307</v>
      </c>
      <c r="C134" s="51">
        <v>0</v>
      </c>
      <c r="D134" t="s">
        <v>1149</v>
      </c>
      <c r="E134" s="51">
        <v>1</v>
      </c>
      <c r="F134" t="s">
        <v>275</v>
      </c>
      <c r="G134" s="51">
        <v>0</v>
      </c>
      <c r="H134" t="s">
        <v>275</v>
      </c>
      <c r="I134" s="51">
        <v>0</v>
      </c>
    </row>
    <row r="135" spans="1:9" x14ac:dyDescent="0.2">
      <c r="A135" t="s">
        <v>1073</v>
      </c>
      <c r="B135" s="51" t="s">
        <v>1308</v>
      </c>
      <c r="C135" s="51">
        <v>0</v>
      </c>
      <c r="D135" t="s">
        <v>1149</v>
      </c>
      <c r="E135" s="51">
        <v>1</v>
      </c>
      <c r="F135" t="s">
        <v>275</v>
      </c>
      <c r="G135" s="51">
        <v>0</v>
      </c>
      <c r="H135" t="s">
        <v>275</v>
      </c>
      <c r="I135" s="51">
        <v>0</v>
      </c>
    </row>
    <row r="136" spans="1:9" x14ac:dyDescent="0.2">
      <c r="A136" t="s">
        <v>778</v>
      </c>
      <c r="B136" s="51" t="s">
        <v>1309</v>
      </c>
      <c r="C136" s="51">
        <v>0</v>
      </c>
      <c r="D136" t="s">
        <v>1149</v>
      </c>
      <c r="E136" s="51">
        <v>1</v>
      </c>
      <c r="F136" t="s">
        <v>275</v>
      </c>
      <c r="G136" s="51">
        <v>0</v>
      </c>
      <c r="H136" t="s">
        <v>275</v>
      </c>
      <c r="I136" s="51">
        <v>0</v>
      </c>
    </row>
    <row r="137" spans="1:9" x14ac:dyDescent="0.2">
      <c r="A137" t="s">
        <v>780</v>
      </c>
      <c r="B137" s="51" t="s">
        <v>1310</v>
      </c>
      <c r="C137" s="51">
        <v>0</v>
      </c>
      <c r="D137" t="s">
        <v>1149</v>
      </c>
      <c r="E137" s="51">
        <v>1</v>
      </c>
      <c r="F137" t="s">
        <v>275</v>
      </c>
      <c r="G137" s="51">
        <v>0</v>
      </c>
      <c r="H137" t="s">
        <v>275</v>
      </c>
      <c r="I137" s="51">
        <v>0</v>
      </c>
    </row>
    <row r="138" spans="1:9" x14ac:dyDescent="0.2">
      <c r="A138" t="s">
        <v>782</v>
      </c>
      <c r="B138" s="51" t="s">
        <v>1311</v>
      </c>
      <c r="C138" s="51">
        <v>0</v>
      </c>
      <c r="D138" t="s">
        <v>1149</v>
      </c>
      <c r="E138" s="51">
        <v>1</v>
      </c>
      <c r="F138" t="s">
        <v>275</v>
      </c>
      <c r="G138" s="51">
        <v>0</v>
      </c>
      <c r="H138" t="s">
        <v>275</v>
      </c>
      <c r="I138" s="51">
        <v>0</v>
      </c>
    </row>
    <row r="139" spans="1:9" x14ac:dyDescent="0.2">
      <c r="A139" t="s">
        <v>790</v>
      </c>
      <c r="B139" s="51" t="s">
        <v>1312</v>
      </c>
      <c r="C139" s="51">
        <v>0</v>
      </c>
      <c r="D139" t="s">
        <v>1149</v>
      </c>
      <c r="E139" s="51">
        <v>1</v>
      </c>
      <c r="F139" t="s">
        <v>275</v>
      </c>
      <c r="G139" s="51">
        <v>0</v>
      </c>
      <c r="H139" t="s">
        <v>275</v>
      </c>
      <c r="I139" s="51">
        <v>0</v>
      </c>
    </row>
    <row r="140" spans="1:9" x14ac:dyDescent="0.2">
      <c r="A140" t="s">
        <v>791</v>
      </c>
      <c r="B140" s="51" t="s">
        <v>1313</v>
      </c>
      <c r="C140" s="51">
        <v>0</v>
      </c>
      <c r="D140" t="s">
        <v>1149</v>
      </c>
      <c r="E140" s="51">
        <v>1</v>
      </c>
      <c r="F140" t="s">
        <v>275</v>
      </c>
      <c r="G140" s="51">
        <v>0</v>
      </c>
      <c r="H140" t="s">
        <v>275</v>
      </c>
      <c r="I140" s="51">
        <v>0</v>
      </c>
    </row>
    <row r="141" spans="1:9" x14ac:dyDescent="0.2">
      <c r="A141" t="s">
        <v>783</v>
      </c>
      <c r="B141" s="51" t="s">
        <v>1314</v>
      </c>
      <c r="C141" s="51">
        <v>0</v>
      </c>
      <c r="D141" t="s">
        <v>1149</v>
      </c>
      <c r="E141" s="51">
        <v>1</v>
      </c>
      <c r="F141" t="s">
        <v>275</v>
      </c>
      <c r="G141" s="51">
        <v>0</v>
      </c>
      <c r="H141" t="s">
        <v>275</v>
      </c>
      <c r="I141" s="51">
        <v>0</v>
      </c>
    </row>
    <row r="142" spans="1:9" x14ac:dyDescent="0.2">
      <c r="A142" t="s">
        <v>785</v>
      </c>
      <c r="B142" s="51" t="s">
        <v>1315</v>
      </c>
      <c r="C142" s="51">
        <v>0</v>
      </c>
      <c r="D142" t="s">
        <v>1149</v>
      </c>
      <c r="E142" s="51">
        <v>1</v>
      </c>
      <c r="F142" t="s">
        <v>275</v>
      </c>
      <c r="G142" s="51">
        <v>0</v>
      </c>
      <c r="H142" t="s">
        <v>275</v>
      </c>
      <c r="I142" s="51">
        <v>0</v>
      </c>
    </row>
    <row r="143" spans="1:9" x14ac:dyDescent="0.2">
      <c r="A143" t="s">
        <v>784</v>
      </c>
      <c r="B143" s="51" t="s">
        <v>1316</v>
      </c>
      <c r="C143" s="51">
        <v>0</v>
      </c>
      <c r="D143" t="s">
        <v>1149</v>
      </c>
      <c r="E143" s="51">
        <v>1</v>
      </c>
      <c r="F143" t="s">
        <v>275</v>
      </c>
      <c r="G143" s="51">
        <v>0</v>
      </c>
      <c r="H143" t="s">
        <v>275</v>
      </c>
      <c r="I143" s="51">
        <v>0</v>
      </c>
    </row>
    <row r="144" spans="1:9" x14ac:dyDescent="0.2">
      <c r="A144" t="s">
        <v>786</v>
      </c>
      <c r="B144" s="51" t="s">
        <v>1317</v>
      </c>
      <c r="C144" s="51">
        <v>0</v>
      </c>
      <c r="D144" t="s">
        <v>1149</v>
      </c>
      <c r="E144" s="51">
        <v>1</v>
      </c>
      <c r="F144" t="s">
        <v>275</v>
      </c>
      <c r="G144" s="51">
        <v>0</v>
      </c>
      <c r="H144" t="s">
        <v>275</v>
      </c>
      <c r="I144" s="51">
        <v>0</v>
      </c>
    </row>
    <row r="145" spans="1:9" x14ac:dyDescent="0.2">
      <c r="A145" t="s">
        <v>787</v>
      </c>
      <c r="B145" s="51" t="s">
        <v>1318</v>
      </c>
      <c r="C145" s="51">
        <v>0</v>
      </c>
      <c r="D145" t="s">
        <v>1149</v>
      </c>
      <c r="E145" s="51">
        <v>1</v>
      </c>
      <c r="F145" t="s">
        <v>275</v>
      </c>
      <c r="G145" s="51">
        <v>0</v>
      </c>
      <c r="H145" t="s">
        <v>275</v>
      </c>
      <c r="I145" s="51">
        <v>0</v>
      </c>
    </row>
    <row r="146" spans="1:9" x14ac:dyDescent="0.2">
      <c r="A146" t="s">
        <v>1178</v>
      </c>
      <c r="B146" s="51" t="s">
        <v>1319</v>
      </c>
      <c r="C146" s="51">
        <v>0</v>
      </c>
      <c r="D146" t="s">
        <v>1149</v>
      </c>
      <c r="E146" s="51">
        <v>1</v>
      </c>
      <c r="F146" t="s">
        <v>275</v>
      </c>
      <c r="G146" s="51">
        <v>0</v>
      </c>
      <c r="H146" t="s">
        <v>275</v>
      </c>
      <c r="I146" s="51">
        <v>0</v>
      </c>
    </row>
    <row r="147" spans="1:9" x14ac:dyDescent="0.2">
      <c r="A147" t="s">
        <v>781</v>
      </c>
      <c r="B147" s="51" t="s">
        <v>1320</v>
      </c>
      <c r="C147" s="51">
        <v>0</v>
      </c>
      <c r="D147" t="s">
        <v>1149</v>
      </c>
      <c r="E147" s="51">
        <v>1</v>
      </c>
      <c r="F147" t="s">
        <v>275</v>
      </c>
      <c r="G147" s="51">
        <v>0</v>
      </c>
      <c r="H147" t="s">
        <v>275</v>
      </c>
      <c r="I147" s="51">
        <v>0</v>
      </c>
    </row>
    <row r="148" spans="1:9" x14ac:dyDescent="0.2">
      <c r="A148" t="s">
        <v>792</v>
      </c>
      <c r="B148" s="51" t="s">
        <v>1321</v>
      </c>
      <c r="C148" s="51">
        <v>0</v>
      </c>
      <c r="D148" t="s">
        <v>1149</v>
      </c>
      <c r="E148" s="51">
        <v>5</v>
      </c>
      <c r="F148" t="s">
        <v>279</v>
      </c>
      <c r="G148" s="51">
        <v>0</v>
      </c>
      <c r="H148" t="s">
        <v>279</v>
      </c>
      <c r="I148" s="51">
        <v>0</v>
      </c>
    </row>
    <row r="149" spans="1:9" x14ac:dyDescent="0.2">
      <c r="A149" t="s">
        <v>779</v>
      </c>
      <c r="B149" s="51" t="s">
        <v>1322</v>
      </c>
      <c r="C149" s="51">
        <v>0</v>
      </c>
      <c r="D149" t="s">
        <v>1149</v>
      </c>
      <c r="E149" s="51">
        <v>1</v>
      </c>
      <c r="F149" t="s">
        <v>275</v>
      </c>
      <c r="G149" s="51">
        <v>0</v>
      </c>
      <c r="H149" t="s">
        <v>275</v>
      </c>
      <c r="I149" s="51">
        <v>0</v>
      </c>
    </row>
    <row r="150" spans="1:9" x14ac:dyDescent="0.2">
      <c r="A150" t="s">
        <v>789</v>
      </c>
      <c r="B150" s="51" t="s">
        <v>1323</v>
      </c>
      <c r="C150" s="51">
        <v>0</v>
      </c>
      <c r="D150" t="s">
        <v>1149</v>
      </c>
      <c r="E150" s="51">
        <v>1</v>
      </c>
      <c r="F150" t="s">
        <v>275</v>
      </c>
      <c r="G150" s="51">
        <v>0</v>
      </c>
      <c r="H150" t="s">
        <v>275</v>
      </c>
      <c r="I150" s="51">
        <v>0</v>
      </c>
    </row>
    <row r="151" spans="1:9" x14ac:dyDescent="0.2">
      <c r="A151" t="s">
        <v>776</v>
      </c>
      <c r="B151" s="51" t="s">
        <v>1324</v>
      </c>
      <c r="C151" s="51">
        <v>0</v>
      </c>
      <c r="D151" t="s">
        <v>1149</v>
      </c>
      <c r="E151" s="51">
        <v>1</v>
      </c>
      <c r="F151" t="s">
        <v>275</v>
      </c>
      <c r="G151" s="51">
        <v>0</v>
      </c>
      <c r="H151" t="s">
        <v>275</v>
      </c>
      <c r="I151" s="51">
        <v>0</v>
      </c>
    </row>
    <row r="152" spans="1:9" x14ac:dyDescent="0.2">
      <c r="A152" t="s">
        <v>1179</v>
      </c>
      <c r="B152" s="51" t="s">
        <v>1325</v>
      </c>
      <c r="C152" s="51">
        <v>0</v>
      </c>
      <c r="D152" t="s">
        <v>1149</v>
      </c>
      <c r="E152" s="51">
        <v>1</v>
      </c>
      <c r="F152" t="s">
        <v>275</v>
      </c>
      <c r="G152" s="51">
        <v>0</v>
      </c>
      <c r="H152" t="s">
        <v>275</v>
      </c>
      <c r="I152" s="51">
        <v>0</v>
      </c>
    </row>
    <row r="153" spans="1:9" x14ac:dyDescent="0.2">
      <c r="A153" t="s">
        <v>777</v>
      </c>
      <c r="B153" s="51" t="s">
        <v>1326</v>
      </c>
      <c r="C153" s="51">
        <v>0</v>
      </c>
      <c r="D153" t="s">
        <v>1149</v>
      </c>
      <c r="E153" s="51">
        <v>1</v>
      </c>
      <c r="F153" t="s">
        <v>275</v>
      </c>
      <c r="G153" s="51">
        <v>0</v>
      </c>
      <c r="H153" t="s">
        <v>275</v>
      </c>
      <c r="I153" s="51">
        <v>0</v>
      </c>
    </row>
    <row r="154" spans="1:9" x14ac:dyDescent="0.2">
      <c r="A154" t="s">
        <v>1029</v>
      </c>
      <c r="B154" s="51" t="s">
        <v>1327</v>
      </c>
      <c r="C154" s="51">
        <v>0</v>
      </c>
      <c r="D154" t="s">
        <v>1149</v>
      </c>
      <c r="E154" s="51">
        <v>1</v>
      </c>
      <c r="F154" t="s">
        <v>275</v>
      </c>
      <c r="G154" s="51">
        <v>0</v>
      </c>
      <c r="H154" t="s">
        <v>275</v>
      </c>
      <c r="I154" s="51">
        <v>0</v>
      </c>
    </row>
    <row r="155" spans="1:9" x14ac:dyDescent="0.2">
      <c r="A155" t="s">
        <v>1074</v>
      </c>
      <c r="B155" s="51" t="s">
        <v>1328</v>
      </c>
      <c r="C155" s="51">
        <v>0</v>
      </c>
      <c r="D155" t="s">
        <v>1149</v>
      </c>
      <c r="E155" s="51">
        <v>1</v>
      </c>
      <c r="F155" t="s">
        <v>275</v>
      </c>
      <c r="G155" s="51">
        <v>0</v>
      </c>
      <c r="H155" t="s">
        <v>275</v>
      </c>
      <c r="I155" s="51">
        <v>0</v>
      </c>
    </row>
    <row r="156" spans="1:9" x14ac:dyDescent="0.2">
      <c r="A156" t="s">
        <v>1069</v>
      </c>
      <c r="B156" s="51" t="s">
        <v>1329</v>
      </c>
      <c r="C156" s="51">
        <v>0</v>
      </c>
      <c r="D156" t="s">
        <v>1149</v>
      </c>
      <c r="E156" s="51">
        <v>1</v>
      </c>
      <c r="F156" t="s">
        <v>275</v>
      </c>
      <c r="G156" s="51">
        <v>0</v>
      </c>
      <c r="H156" t="s">
        <v>275</v>
      </c>
      <c r="I156" s="51">
        <v>0</v>
      </c>
    </row>
    <row r="157" spans="1:9" x14ac:dyDescent="0.2">
      <c r="A157" t="s">
        <v>1070</v>
      </c>
      <c r="B157" s="51" t="s">
        <v>1330</v>
      </c>
      <c r="C157" s="51">
        <v>0</v>
      </c>
      <c r="D157" t="s">
        <v>1149</v>
      </c>
      <c r="E157" s="51">
        <v>1</v>
      </c>
      <c r="F157" t="s">
        <v>275</v>
      </c>
      <c r="G157" s="51">
        <v>0</v>
      </c>
      <c r="H157" t="s">
        <v>275</v>
      </c>
      <c r="I157" s="51">
        <v>0</v>
      </c>
    </row>
    <row r="158" spans="1:9" x14ac:dyDescent="0.2">
      <c r="A158" t="s">
        <v>1071</v>
      </c>
      <c r="B158" s="51" t="s">
        <v>1331</v>
      </c>
      <c r="C158" s="51">
        <v>0</v>
      </c>
      <c r="D158" t="s">
        <v>1149</v>
      </c>
      <c r="E158" s="51">
        <v>1</v>
      </c>
      <c r="F158" t="s">
        <v>275</v>
      </c>
      <c r="G158" s="51">
        <v>0</v>
      </c>
      <c r="H158" t="s">
        <v>275</v>
      </c>
      <c r="I158" s="51">
        <v>0</v>
      </c>
    </row>
    <row r="159" spans="1:9" x14ac:dyDescent="0.2">
      <c r="A159" t="s">
        <v>1072</v>
      </c>
      <c r="B159" s="51" t="s">
        <v>1332</v>
      </c>
      <c r="C159" s="51">
        <v>0</v>
      </c>
      <c r="D159" t="s">
        <v>1149</v>
      </c>
      <c r="E159" s="51">
        <v>1</v>
      </c>
      <c r="F159" t="s">
        <v>275</v>
      </c>
      <c r="G159" s="51">
        <v>0</v>
      </c>
      <c r="H159" t="s">
        <v>275</v>
      </c>
      <c r="I159" s="51">
        <v>0</v>
      </c>
    </row>
    <row r="160" spans="1:9" x14ac:dyDescent="0.2">
      <c r="A160" t="s">
        <v>1033</v>
      </c>
      <c r="B160" s="51" t="s">
        <v>1333</v>
      </c>
      <c r="C160" s="51">
        <v>0</v>
      </c>
      <c r="D160" t="s">
        <v>1149</v>
      </c>
      <c r="E160" s="51">
        <v>1</v>
      </c>
      <c r="F160" t="s">
        <v>275</v>
      </c>
      <c r="G160" s="51">
        <v>0</v>
      </c>
      <c r="H160" t="s">
        <v>275</v>
      </c>
      <c r="I160" s="51">
        <v>0</v>
      </c>
    </row>
    <row r="161" spans="1:9" x14ac:dyDescent="0.2">
      <c r="A161" t="s">
        <v>907</v>
      </c>
      <c r="B161" s="51" t="s">
        <v>1334</v>
      </c>
      <c r="C161" s="51">
        <v>0</v>
      </c>
      <c r="D161" t="s">
        <v>1149</v>
      </c>
      <c r="E161" s="51">
        <v>1</v>
      </c>
      <c r="F161" t="s">
        <v>275</v>
      </c>
      <c r="G161" s="51">
        <v>0</v>
      </c>
      <c r="H161" t="s">
        <v>275</v>
      </c>
      <c r="I161" s="51">
        <v>0</v>
      </c>
    </row>
    <row r="162" spans="1:9" x14ac:dyDescent="0.2">
      <c r="A162" t="s">
        <v>1018</v>
      </c>
      <c r="B162" s="51" t="s">
        <v>1335</v>
      </c>
      <c r="C162" s="51">
        <v>0</v>
      </c>
      <c r="D162" t="s">
        <v>1149</v>
      </c>
      <c r="E162" s="51">
        <v>3</v>
      </c>
      <c r="F162" t="s">
        <v>281</v>
      </c>
      <c r="G162" s="51">
        <v>0</v>
      </c>
      <c r="H162" t="s">
        <v>281</v>
      </c>
      <c r="I162" s="51">
        <v>0</v>
      </c>
    </row>
    <row r="163" spans="1:9" x14ac:dyDescent="0.2">
      <c r="A163" t="s">
        <v>770</v>
      </c>
      <c r="B163" s="51" t="s">
        <v>771</v>
      </c>
      <c r="C163" s="51">
        <v>0</v>
      </c>
      <c r="D163" t="s">
        <v>1149</v>
      </c>
      <c r="E163" s="51">
        <v>3</v>
      </c>
      <c r="F163" t="s">
        <v>281</v>
      </c>
      <c r="G163" s="51">
        <v>0</v>
      </c>
      <c r="H163" t="s">
        <v>281</v>
      </c>
      <c r="I163" s="51">
        <v>0</v>
      </c>
    </row>
    <row r="164" spans="1:9" x14ac:dyDescent="0.2">
      <c r="A164" t="s">
        <v>748</v>
      </c>
      <c r="B164" s="51" t="s">
        <v>749</v>
      </c>
      <c r="C164" s="51">
        <v>0</v>
      </c>
      <c r="D164" t="s">
        <v>1149</v>
      </c>
      <c r="E164" s="51">
        <v>3</v>
      </c>
      <c r="F164" t="s">
        <v>281</v>
      </c>
      <c r="G164" s="51">
        <v>0</v>
      </c>
      <c r="H164" t="s">
        <v>281</v>
      </c>
      <c r="I164" s="51">
        <v>0</v>
      </c>
    </row>
    <row r="165" spans="1:9" x14ac:dyDescent="0.2">
      <c r="A165" t="s">
        <v>754</v>
      </c>
      <c r="B165" s="51" t="s">
        <v>755</v>
      </c>
      <c r="C165" s="51">
        <v>0</v>
      </c>
      <c r="D165" t="s">
        <v>1149</v>
      </c>
      <c r="E165" s="51">
        <v>5</v>
      </c>
      <c r="F165" t="s">
        <v>279</v>
      </c>
      <c r="G165" s="51">
        <v>0</v>
      </c>
      <c r="H165" t="s">
        <v>279</v>
      </c>
      <c r="I165" s="51">
        <v>0</v>
      </c>
    </row>
    <row r="166" spans="1:9" x14ac:dyDescent="0.2">
      <c r="A166" t="s">
        <v>750</v>
      </c>
      <c r="B166" s="51" t="s">
        <v>751</v>
      </c>
      <c r="C166" s="51">
        <v>0</v>
      </c>
      <c r="D166" t="s">
        <v>1149</v>
      </c>
      <c r="E166" s="51">
        <v>3</v>
      </c>
      <c r="F166" t="s">
        <v>281</v>
      </c>
      <c r="G166" s="51">
        <v>0</v>
      </c>
      <c r="H166" t="s">
        <v>281</v>
      </c>
      <c r="I166" s="51">
        <v>0</v>
      </c>
    </row>
    <row r="167" spans="1:9" x14ac:dyDescent="0.2">
      <c r="A167" t="s">
        <v>734</v>
      </c>
      <c r="B167" s="51" t="s">
        <v>735</v>
      </c>
      <c r="C167" s="51">
        <v>0</v>
      </c>
      <c r="D167" t="s">
        <v>1149</v>
      </c>
      <c r="E167" s="51">
        <v>5</v>
      </c>
      <c r="F167" t="s">
        <v>731</v>
      </c>
      <c r="G167" s="51">
        <v>1</v>
      </c>
      <c r="H167" t="s">
        <v>279</v>
      </c>
      <c r="I167" s="51">
        <v>0</v>
      </c>
    </row>
    <row r="168" spans="1:9" x14ac:dyDescent="0.2">
      <c r="A168" t="s">
        <v>756</v>
      </c>
      <c r="B168" s="51" t="s">
        <v>757</v>
      </c>
      <c r="C168" s="51">
        <v>0</v>
      </c>
      <c r="D168" t="s">
        <v>1149</v>
      </c>
      <c r="E168" s="51">
        <v>5</v>
      </c>
      <c r="F168" t="s">
        <v>279</v>
      </c>
      <c r="G168" s="51">
        <v>0</v>
      </c>
      <c r="H168" t="s">
        <v>279</v>
      </c>
      <c r="I168" s="51">
        <v>0</v>
      </c>
    </row>
    <row r="169" spans="1:9" x14ac:dyDescent="0.2">
      <c r="A169" t="s">
        <v>758</v>
      </c>
      <c r="B169" s="51" t="s">
        <v>759</v>
      </c>
      <c r="C169" s="51">
        <v>0</v>
      </c>
      <c r="D169" t="s">
        <v>1149</v>
      </c>
      <c r="E169" s="51">
        <v>5</v>
      </c>
      <c r="F169" t="s">
        <v>279</v>
      </c>
      <c r="G169" s="51">
        <v>0</v>
      </c>
      <c r="H169" t="s">
        <v>279</v>
      </c>
      <c r="I169" s="51">
        <v>0</v>
      </c>
    </row>
    <row r="170" spans="1:9" x14ac:dyDescent="0.2">
      <c r="A170" t="s">
        <v>764</v>
      </c>
      <c r="B170" s="51" t="s">
        <v>765</v>
      </c>
      <c r="C170" s="51">
        <v>0</v>
      </c>
      <c r="D170" t="s">
        <v>1149</v>
      </c>
      <c r="E170" s="51">
        <v>5</v>
      </c>
      <c r="F170" t="s">
        <v>279</v>
      </c>
      <c r="G170" s="51">
        <v>0</v>
      </c>
      <c r="H170" t="s">
        <v>279</v>
      </c>
      <c r="I170" s="51">
        <v>0</v>
      </c>
    </row>
    <row r="171" spans="1:9" x14ac:dyDescent="0.2">
      <c r="A171" t="s">
        <v>760</v>
      </c>
      <c r="B171" s="51" t="s">
        <v>761</v>
      </c>
      <c r="C171" s="51">
        <v>1</v>
      </c>
      <c r="D171" t="s">
        <v>1149</v>
      </c>
      <c r="E171" s="51">
        <v>5</v>
      </c>
      <c r="F171" t="s">
        <v>279</v>
      </c>
      <c r="G171" s="51">
        <v>0</v>
      </c>
      <c r="H171" t="s">
        <v>279</v>
      </c>
      <c r="I171" s="51">
        <v>0</v>
      </c>
    </row>
    <row r="172" spans="1:9" x14ac:dyDescent="0.2">
      <c r="A172" t="s">
        <v>752</v>
      </c>
      <c r="B172" s="51" t="s">
        <v>753</v>
      </c>
      <c r="C172" s="51">
        <v>0</v>
      </c>
      <c r="D172" t="s">
        <v>1149</v>
      </c>
      <c r="E172" s="51">
        <v>5</v>
      </c>
      <c r="F172" t="s">
        <v>279</v>
      </c>
      <c r="G172" s="51">
        <v>0</v>
      </c>
      <c r="H172" t="s">
        <v>279</v>
      </c>
      <c r="I172" s="51">
        <v>0</v>
      </c>
    </row>
    <row r="173" spans="1:9" x14ac:dyDescent="0.2">
      <c r="A173" t="s">
        <v>762</v>
      </c>
      <c r="B173" s="51" t="s">
        <v>763</v>
      </c>
      <c r="C173" s="51">
        <v>0</v>
      </c>
      <c r="D173" t="s">
        <v>1149</v>
      </c>
      <c r="E173" s="51">
        <v>3</v>
      </c>
      <c r="F173" t="s">
        <v>281</v>
      </c>
      <c r="G173" s="51">
        <v>0</v>
      </c>
      <c r="H173" t="s">
        <v>281</v>
      </c>
      <c r="I173" s="51">
        <v>0</v>
      </c>
    </row>
    <row r="174" spans="1:9" x14ac:dyDescent="0.2">
      <c r="A174" t="s">
        <v>768</v>
      </c>
      <c r="B174" s="51" t="s">
        <v>769</v>
      </c>
      <c r="C174" s="51">
        <v>0</v>
      </c>
      <c r="D174" t="s">
        <v>1149</v>
      </c>
      <c r="E174" s="51">
        <v>3</v>
      </c>
      <c r="F174" t="s">
        <v>281</v>
      </c>
      <c r="G174" s="51">
        <v>0</v>
      </c>
      <c r="H174" t="s">
        <v>281</v>
      </c>
      <c r="I174" s="51">
        <v>0</v>
      </c>
    </row>
    <row r="175" spans="1:9" x14ac:dyDescent="0.2">
      <c r="A175" t="s">
        <v>766</v>
      </c>
      <c r="B175" s="51" t="s">
        <v>767</v>
      </c>
      <c r="C175" s="51">
        <v>0</v>
      </c>
      <c r="D175" t="s">
        <v>1149</v>
      </c>
      <c r="E175" s="51">
        <v>3</v>
      </c>
      <c r="F175" t="s">
        <v>281</v>
      </c>
      <c r="G175" s="51">
        <v>0</v>
      </c>
      <c r="H175" t="s">
        <v>281</v>
      </c>
      <c r="I175" s="51">
        <v>0</v>
      </c>
    </row>
    <row r="176" spans="1:9" x14ac:dyDescent="0.2">
      <c r="A176" t="s">
        <v>819</v>
      </c>
      <c r="B176" s="51" t="s">
        <v>1336</v>
      </c>
      <c r="C176" s="51">
        <v>0</v>
      </c>
      <c r="D176" t="s">
        <v>1149</v>
      </c>
      <c r="E176" s="51">
        <v>3</v>
      </c>
      <c r="F176" t="s">
        <v>281</v>
      </c>
      <c r="G176" s="51">
        <v>0</v>
      </c>
      <c r="H176" t="s">
        <v>281</v>
      </c>
      <c r="I176" s="51">
        <v>0</v>
      </c>
    </row>
    <row r="177" spans="1:9" x14ac:dyDescent="0.2">
      <c r="A177" t="s">
        <v>1180</v>
      </c>
      <c r="B177" s="51" t="s">
        <v>1337</v>
      </c>
      <c r="C177" s="51">
        <v>0</v>
      </c>
      <c r="D177" t="s">
        <v>1149</v>
      </c>
      <c r="E177" s="51">
        <v>1</v>
      </c>
      <c r="F177" t="s">
        <v>275</v>
      </c>
      <c r="G177" s="51">
        <v>0</v>
      </c>
      <c r="H177" t="s">
        <v>275</v>
      </c>
      <c r="I177" s="51">
        <v>0</v>
      </c>
    </row>
    <row r="178" spans="1:9" x14ac:dyDescent="0.2">
      <c r="A178" t="s">
        <v>861</v>
      </c>
      <c r="B178" s="51" t="s">
        <v>1338</v>
      </c>
      <c r="C178" s="51">
        <v>0</v>
      </c>
      <c r="D178" t="s">
        <v>1149</v>
      </c>
      <c r="E178" s="51">
        <v>1</v>
      </c>
      <c r="F178" t="s">
        <v>275</v>
      </c>
      <c r="G178" s="51">
        <v>0</v>
      </c>
      <c r="H178" t="s">
        <v>275</v>
      </c>
      <c r="I178" s="51">
        <v>0</v>
      </c>
    </row>
    <row r="179" spans="1:9" x14ac:dyDescent="0.2">
      <c r="A179" t="s">
        <v>850</v>
      </c>
      <c r="B179" s="51" t="s">
        <v>1339</v>
      </c>
      <c r="C179" s="51">
        <v>0</v>
      </c>
      <c r="D179" t="s">
        <v>1149</v>
      </c>
      <c r="E179" s="51">
        <v>1</v>
      </c>
      <c r="F179" t="s">
        <v>275</v>
      </c>
      <c r="G179" s="51">
        <v>0</v>
      </c>
      <c r="H179" t="s">
        <v>275</v>
      </c>
      <c r="I179" s="51">
        <v>0</v>
      </c>
    </row>
    <row r="180" spans="1:9" x14ac:dyDescent="0.2">
      <c r="A180" t="s">
        <v>842</v>
      </c>
      <c r="B180" s="51" t="s">
        <v>1340</v>
      </c>
      <c r="C180" s="51">
        <v>0</v>
      </c>
      <c r="D180" t="s">
        <v>1149</v>
      </c>
      <c r="E180" s="51">
        <v>5</v>
      </c>
      <c r="F180" t="s">
        <v>731</v>
      </c>
      <c r="G180" s="51">
        <v>1</v>
      </c>
      <c r="H180" t="s">
        <v>279</v>
      </c>
      <c r="I180" s="51">
        <v>0</v>
      </c>
    </row>
    <row r="181" spans="1:9" x14ac:dyDescent="0.2">
      <c r="A181" t="s">
        <v>797</v>
      </c>
      <c r="B181" s="51" t="s">
        <v>1341</v>
      </c>
      <c r="C181" s="51">
        <v>0</v>
      </c>
      <c r="D181" t="s">
        <v>1149</v>
      </c>
      <c r="E181" s="51">
        <v>1</v>
      </c>
      <c r="F181" t="s">
        <v>275</v>
      </c>
      <c r="G181" s="51">
        <v>0</v>
      </c>
      <c r="H181" t="s">
        <v>275</v>
      </c>
      <c r="I181" s="51">
        <v>0</v>
      </c>
    </row>
    <row r="182" spans="1:9" x14ac:dyDescent="0.2">
      <c r="A182" t="s">
        <v>845</v>
      </c>
      <c r="B182" s="51" t="s">
        <v>1342</v>
      </c>
      <c r="C182" s="51">
        <v>0</v>
      </c>
      <c r="D182" t="s">
        <v>1149</v>
      </c>
      <c r="E182" s="51">
        <v>1</v>
      </c>
      <c r="F182" t="s">
        <v>275</v>
      </c>
      <c r="G182" s="51">
        <v>0</v>
      </c>
      <c r="H182" t="s">
        <v>275</v>
      </c>
      <c r="I182" s="51">
        <v>0</v>
      </c>
    </row>
    <row r="183" spans="1:9" x14ac:dyDescent="0.2">
      <c r="A183" t="s">
        <v>892</v>
      </c>
      <c r="B183" s="51" t="s">
        <v>1343</v>
      </c>
      <c r="C183" s="51">
        <v>0</v>
      </c>
      <c r="D183" t="s">
        <v>1149</v>
      </c>
      <c r="E183" s="51">
        <v>1</v>
      </c>
      <c r="F183" t="s">
        <v>275</v>
      </c>
      <c r="G183" s="51">
        <v>0</v>
      </c>
      <c r="H183" t="s">
        <v>275</v>
      </c>
      <c r="I183" s="51">
        <v>0</v>
      </c>
    </row>
    <row r="184" spans="1:9" x14ac:dyDescent="0.2">
      <c r="A184" t="s">
        <v>832</v>
      </c>
      <c r="B184" s="51" t="s">
        <v>1344</v>
      </c>
      <c r="C184" s="51">
        <v>0</v>
      </c>
      <c r="D184" t="s">
        <v>1149</v>
      </c>
      <c r="E184" s="51">
        <v>1</v>
      </c>
      <c r="F184" t="s">
        <v>275</v>
      </c>
      <c r="G184" s="51">
        <v>0</v>
      </c>
      <c r="H184" t="s">
        <v>275</v>
      </c>
      <c r="I184" s="51">
        <v>0</v>
      </c>
    </row>
    <row r="185" spans="1:9" x14ac:dyDescent="0.2">
      <c r="A185" t="s">
        <v>802</v>
      </c>
      <c r="B185" s="51" t="s">
        <v>1345</v>
      </c>
      <c r="C185" s="51">
        <v>0</v>
      </c>
      <c r="D185" t="s">
        <v>1149</v>
      </c>
      <c r="E185" s="51">
        <v>3</v>
      </c>
      <c r="F185" t="s">
        <v>281</v>
      </c>
      <c r="G185" s="51">
        <v>0</v>
      </c>
      <c r="H185" t="s">
        <v>281</v>
      </c>
      <c r="I185" s="51">
        <v>0</v>
      </c>
    </row>
    <row r="186" spans="1:9" x14ac:dyDescent="0.2">
      <c r="A186" t="s">
        <v>803</v>
      </c>
      <c r="B186" s="51" t="s">
        <v>1346</v>
      </c>
      <c r="C186" s="51">
        <v>0</v>
      </c>
      <c r="D186" t="s">
        <v>1149</v>
      </c>
      <c r="E186" s="51">
        <v>1</v>
      </c>
      <c r="F186" t="s">
        <v>275</v>
      </c>
      <c r="G186" s="51">
        <v>0</v>
      </c>
      <c r="H186" t="s">
        <v>275</v>
      </c>
      <c r="I186" s="51">
        <v>0</v>
      </c>
    </row>
    <row r="187" spans="1:9" x14ac:dyDescent="0.2">
      <c r="A187" t="s">
        <v>886</v>
      </c>
      <c r="B187" s="51" t="s">
        <v>1347</v>
      </c>
      <c r="C187" s="51">
        <v>0</v>
      </c>
      <c r="D187" t="s">
        <v>1149</v>
      </c>
      <c r="E187" s="51">
        <v>1</v>
      </c>
      <c r="F187" t="s">
        <v>275</v>
      </c>
      <c r="G187" s="51">
        <v>0</v>
      </c>
      <c r="H187" t="s">
        <v>275</v>
      </c>
      <c r="I187" s="51">
        <v>0</v>
      </c>
    </row>
    <row r="188" spans="1:9" x14ac:dyDescent="0.2">
      <c r="A188" t="s">
        <v>890</v>
      </c>
      <c r="B188" s="51" t="s">
        <v>1348</v>
      </c>
      <c r="C188" s="51">
        <v>0</v>
      </c>
      <c r="D188" t="s">
        <v>1149</v>
      </c>
      <c r="E188" s="51">
        <v>1</v>
      </c>
      <c r="F188" t="s">
        <v>275</v>
      </c>
      <c r="G188" s="51">
        <v>0</v>
      </c>
      <c r="H188" t="s">
        <v>275</v>
      </c>
      <c r="I188" s="51">
        <v>0</v>
      </c>
    </row>
    <row r="189" spans="1:9" x14ac:dyDescent="0.2">
      <c r="A189" t="s">
        <v>864</v>
      </c>
      <c r="B189" s="51" t="s">
        <v>1349</v>
      </c>
      <c r="C189" s="51">
        <v>0</v>
      </c>
      <c r="D189" t="s">
        <v>1149</v>
      </c>
      <c r="E189" s="51">
        <v>1</v>
      </c>
      <c r="F189" t="s">
        <v>275</v>
      </c>
      <c r="G189" s="51">
        <v>0</v>
      </c>
      <c r="H189" t="s">
        <v>275</v>
      </c>
      <c r="I189" s="51">
        <v>0</v>
      </c>
    </row>
    <row r="190" spans="1:9" x14ac:dyDescent="0.2">
      <c r="A190" t="s">
        <v>857</v>
      </c>
      <c r="B190" s="51" t="s">
        <v>1350</v>
      </c>
      <c r="C190" s="51">
        <v>0</v>
      </c>
      <c r="D190" t="s">
        <v>1149</v>
      </c>
      <c r="E190" s="51">
        <v>1</v>
      </c>
      <c r="F190" t="s">
        <v>275</v>
      </c>
      <c r="G190" s="51">
        <v>0</v>
      </c>
      <c r="H190" t="s">
        <v>275</v>
      </c>
      <c r="I190" s="51">
        <v>0</v>
      </c>
    </row>
    <row r="191" spans="1:9" x14ac:dyDescent="0.2">
      <c r="A191" t="s">
        <v>805</v>
      </c>
      <c r="B191" s="51" t="s">
        <v>1351</v>
      </c>
      <c r="C191" s="51">
        <v>0</v>
      </c>
      <c r="D191" t="s">
        <v>1149</v>
      </c>
      <c r="E191" s="51">
        <v>3</v>
      </c>
      <c r="F191" t="s">
        <v>281</v>
      </c>
      <c r="G191" s="51">
        <v>0</v>
      </c>
      <c r="H191" t="s">
        <v>281</v>
      </c>
      <c r="I191" s="51">
        <v>0</v>
      </c>
    </row>
    <row r="192" spans="1:9" x14ac:dyDescent="0.2">
      <c r="A192" t="s">
        <v>879</v>
      </c>
      <c r="B192" s="51" t="s">
        <v>1352</v>
      </c>
      <c r="C192" s="51">
        <v>0</v>
      </c>
      <c r="D192" t="s">
        <v>1149</v>
      </c>
      <c r="E192" s="51">
        <v>1</v>
      </c>
      <c r="F192" t="s">
        <v>275</v>
      </c>
      <c r="G192" s="51">
        <v>0</v>
      </c>
      <c r="H192" t="s">
        <v>275</v>
      </c>
      <c r="I192" s="51">
        <v>0</v>
      </c>
    </row>
    <row r="193" spans="1:9" x14ac:dyDescent="0.2">
      <c r="A193" t="s">
        <v>831</v>
      </c>
      <c r="B193" s="51" t="s">
        <v>1353</v>
      </c>
      <c r="C193" s="51">
        <v>0</v>
      </c>
      <c r="D193" t="s">
        <v>1149</v>
      </c>
      <c r="E193" s="51">
        <v>1</v>
      </c>
      <c r="F193" t="s">
        <v>275</v>
      </c>
      <c r="G193" s="51">
        <v>0</v>
      </c>
      <c r="H193" t="s">
        <v>275</v>
      </c>
      <c r="I193" s="51">
        <v>0</v>
      </c>
    </row>
    <row r="194" spans="1:9" x14ac:dyDescent="0.2">
      <c r="A194" t="s">
        <v>865</v>
      </c>
      <c r="B194" s="51" t="s">
        <v>1354</v>
      </c>
      <c r="C194" s="51">
        <v>0</v>
      </c>
      <c r="D194" t="s">
        <v>1149</v>
      </c>
      <c r="E194" s="51">
        <v>1</v>
      </c>
      <c r="F194" t="s">
        <v>275</v>
      </c>
      <c r="G194" s="51">
        <v>0</v>
      </c>
      <c r="H194" t="s">
        <v>275</v>
      </c>
      <c r="I194" s="51">
        <v>0</v>
      </c>
    </row>
    <row r="195" spans="1:9" x14ac:dyDescent="0.2">
      <c r="A195" t="s">
        <v>847</v>
      </c>
      <c r="B195" s="51" t="s">
        <v>1355</v>
      </c>
      <c r="C195" s="51">
        <v>0</v>
      </c>
      <c r="D195" t="s">
        <v>1149</v>
      </c>
      <c r="E195" s="51">
        <v>1</v>
      </c>
      <c r="F195" t="s">
        <v>275</v>
      </c>
      <c r="G195" s="51">
        <v>0</v>
      </c>
      <c r="H195" t="s">
        <v>275</v>
      </c>
      <c r="I195" s="51">
        <v>0</v>
      </c>
    </row>
    <row r="196" spans="1:9" x14ac:dyDescent="0.2">
      <c r="A196" t="s">
        <v>824</v>
      </c>
      <c r="B196" s="51" t="s">
        <v>1356</v>
      </c>
      <c r="C196" s="51">
        <v>0</v>
      </c>
      <c r="D196" t="s">
        <v>1149</v>
      </c>
      <c r="E196" s="51">
        <v>3</v>
      </c>
      <c r="F196" t="s">
        <v>281</v>
      </c>
      <c r="G196" s="51">
        <v>0</v>
      </c>
      <c r="H196" t="s">
        <v>281</v>
      </c>
      <c r="I196" s="51">
        <v>0</v>
      </c>
    </row>
    <row r="197" spans="1:9" x14ac:dyDescent="0.2">
      <c r="A197" t="s">
        <v>799</v>
      </c>
      <c r="B197" s="51" t="s">
        <v>1357</v>
      </c>
      <c r="C197" s="51">
        <v>0</v>
      </c>
      <c r="D197" t="s">
        <v>1149</v>
      </c>
      <c r="E197" s="51">
        <v>1</v>
      </c>
      <c r="F197" t="s">
        <v>275</v>
      </c>
      <c r="G197" s="51">
        <v>0</v>
      </c>
      <c r="H197" t="s">
        <v>275</v>
      </c>
      <c r="I197" s="51">
        <v>0</v>
      </c>
    </row>
    <row r="198" spans="1:9" x14ac:dyDescent="0.2">
      <c r="A198" t="s">
        <v>859</v>
      </c>
      <c r="B198" s="51" t="s">
        <v>1358</v>
      </c>
      <c r="C198" s="51">
        <v>0</v>
      </c>
      <c r="D198" t="s">
        <v>1149</v>
      </c>
      <c r="E198" s="51">
        <v>1</v>
      </c>
      <c r="F198" t="s">
        <v>275</v>
      </c>
      <c r="G198" s="51">
        <v>0</v>
      </c>
      <c r="H198" t="s">
        <v>275</v>
      </c>
      <c r="I198" s="51">
        <v>0</v>
      </c>
    </row>
    <row r="199" spans="1:9" x14ac:dyDescent="0.2">
      <c r="A199" t="s">
        <v>867</v>
      </c>
      <c r="B199" s="51" t="s">
        <v>1359</v>
      </c>
      <c r="C199" s="51">
        <v>0</v>
      </c>
      <c r="D199" t="s">
        <v>1149</v>
      </c>
      <c r="E199" s="51">
        <v>1</v>
      </c>
      <c r="F199" t="s">
        <v>275</v>
      </c>
      <c r="G199" s="51">
        <v>0</v>
      </c>
      <c r="H199" t="s">
        <v>275</v>
      </c>
      <c r="I199" s="51">
        <v>0</v>
      </c>
    </row>
    <row r="200" spans="1:9" x14ac:dyDescent="0.2">
      <c r="A200" t="s">
        <v>853</v>
      </c>
      <c r="B200" s="51" t="s">
        <v>1360</v>
      </c>
      <c r="C200" s="51">
        <v>0</v>
      </c>
      <c r="D200" t="s">
        <v>1149</v>
      </c>
      <c r="E200" s="51">
        <v>1</v>
      </c>
      <c r="F200" t="s">
        <v>275</v>
      </c>
      <c r="G200" s="51">
        <v>0</v>
      </c>
      <c r="H200" t="s">
        <v>275</v>
      </c>
      <c r="I200" s="51">
        <v>0</v>
      </c>
    </row>
    <row r="201" spans="1:9" x14ac:dyDescent="0.2">
      <c r="A201" t="s">
        <v>851</v>
      </c>
      <c r="B201" s="51" t="s">
        <v>1361</v>
      </c>
      <c r="C201" s="51">
        <v>0</v>
      </c>
      <c r="D201" t="s">
        <v>1149</v>
      </c>
      <c r="E201" s="51">
        <v>1</v>
      </c>
      <c r="F201" t="s">
        <v>275</v>
      </c>
      <c r="G201" s="51">
        <v>0</v>
      </c>
      <c r="H201" t="s">
        <v>275</v>
      </c>
      <c r="I201" s="51">
        <v>0</v>
      </c>
    </row>
    <row r="202" spans="1:9" x14ac:dyDescent="0.2">
      <c r="A202" t="s">
        <v>863</v>
      </c>
      <c r="B202" s="51" t="s">
        <v>1362</v>
      </c>
      <c r="C202" s="51">
        <v>0</v>
      </c>
      <c r="D202" t="s">
        <v>1149</v>
      </c>
      <c r="E202" s="51">
        <v>1</v>
      </c>
      <c r="F202" t="s">
        <v>275</v>
      </c>
      <c r="G202" s="51">
        <v>0</v>
      </c>
      <c r="H202" t="s">
        <v>275</v>
      </c>
      <c r="I202" s="51">
        <v>0</v>
      </c>
    </row>
    <row r="203" spans="1:9" x14ac:dyDescent="0.2">
      <c r="A203" t="s">
        <v>860</v>
      </c>
      <c r="B203" s="51" t="s">
        <v>1363</v>
      </c>
      <c r="C203" s="51">
        <v>0</v>
      </c>
      <c r="D203" t="s">
        <v>1149</v>
      </c>
      <c r="E203" s="51">
        <v>1</v>
      </c>
      <c r="F203" t="s">
        <v>275</v>
      </c>
      <c r="G203" s="51">
        <v>0</v>
      </c>
      <c r="H203" t="s">
        <v>275</v>
      </c>
      <c r="I203" s="51">
        <v>0</v>
      </c>
    </row>
    <row r="204" spans="1:9" x14ac:dyDescent="0.2">
      <c r="A204" t="s">
        <v>849</v>
      </c>
      <c r="B204" s="51" t="s">
        <v>1364</v>
      </c>
      <c r="C204" s="51">
        <v>0</v>
      </c>
      <c r="D204" t="s">
        <v>1149</v>
      </c>
      <c r="E204" s="51">
        <v>1</v>
      </c>
      <c r="F204" t="s">
        <v>275</v>
      </c>
      <c r="G204" s="51">
        <v>0</v>
      </c>
      <c r="H204" t="s">
        <v>275</v>
      </c>
      <c r="I204" s="51">
        <v>0</v>
      </c>
    </row>
    <row r="205" spans="1:9" x14ac:dyDescent="0.2">
      <c r="A205" t="s">
        <v>823</v>
      </c>
      <c r="B205" s="51" t="s">
        <v>1365</v>
      </c>
      <c r="C205" s="51">
        <v>0</v>
      </c>
      <c r="D205" t="s">
        <v>1149</v>
      </c>
      <c r="E205" s="51">
        <v>3</v>
      </c>
      <c r="F205" t="s">
        <v>281</v>
      </c>
      <c r="G205" s="51">
        <v>0</v>
      </c>
      <c r="H205" t="s">
        <v>281</v>
      </c>
      <c r="I205" s="51">
        <v>0</v>
      </c>
    </row>
    <row r="206" spans="1:9" x14ac:dyDescent="0.2">
      <c r="A206" t="s">
        <v>869</v>
      </c>
      <c r="B206" s="51" t="s">
        <v>1366</v>
      </c>
      <c r="C206" s="51">
        <v>0</v>
      </c>
      <c r="D206" t="s">
        <v>1149</v>
      </c>
      <c r="E206" s="51">
        <v>1</v>
      </c>
      <c r="F206" t="s">
        <v>275</v>
      </c>
      <c r="G206" s="51">
        <v>0</v>
      </c>
      <c r="H206" t="s">
        <v>275</v>
      </c>
      <c r="I206" s="51">
        <v>0</v>
      </c>
    </row>
    <row r="207" spans="1:9" x14ac:dyDescent="0.2">
      <c r="A207" t="s">
        <v>807</v>
      </c>
      <c r="B207" s="51" t="s">
        <v>1367</v>
      </c>
      <c r="C207" s="51">
        <v>0</v>
      </c>
      <c r="D207" t="s">
        <v>1149</v>
      </c>
      <c r="E207" s="51">
        <v>3</v>
      </c>
      <c r="F207" t="s">
        <v>281</v>
      </c>
      <c r="G207" s="51">
        <v>0</v>
      </c>
      <c r="H207" t="s">
        <v>281</v>
      </c>
      <c r="I207" s="51">
        <v>0</v>
      </c>
    </row>
    <row r="208" spans="1:9" x14ac:dyDescent="0.2">
      <c r="A208" t="s">
        <v>866</v>
      </c>
      <c r="B208" s="51" t="s">
        <v>1368</v>
      </c>
      <c r="C208" s="51">
        <v>0</v>
      </c>
      <c r="D208" t="s">
        <v>1149</v>
      </c>
      <c r="E208" s="51">
        <v>1</v>
      </c>
      <c r="F208" t="s">
        <v>275</v>
      </c>
      <c r="G208" s="51">
        <v>0</v>
      </c>
      <c r="H208" t="s">
        <v>275</v>
      </c>
      <c r="I208" s="51">
        <v>0</v>
      </c>
    </row>
    <row r="209" spans="1:9" x14ac:dyDescent="0.2">
      <c r="A209" t="s">
        <v>891</v>
      </c>
      <c r="B209" s="51" t="s">
        <v>1369</v>
      </c>
      <c r="C209" s="51">
        <v>0</v>
      </c>
      <c r="D209" t="s">
        <v>1149</v>
      </c>
      <c r="E209" s="51">
        <v>1</v>
      </c>
      <c r="F209" t="s">
        <v>275</v>
      </c>
      <c r="G209" s="51">
        <v>0</v>
      </c>
      <c r="H209" t="s">
        <v>275</v>
      </c>
      <c r="I209" s="51">
        <v>0</v>
      </c>
    </row>
    <row r="210" spans="1:9" x14ac:dyDescent="0.2">
      <c r="A210" t="s">
        <v>854</v>
      </c>
      <c r="B210" s="51" t="s">
        <v>1370</v>
      </c>
      <c r="C210" s="51">
        <v>0</v>
      </c>
      <c r="D210" t="s">
        <v>1149</v>
      </c>
      <c r="E210" s="51">
        <v>1</v>
      </c>
      <c r="F210" t="s">
        <v>275</v>
      </c>
      <c r="G210" s="51">
        <v>0</v>
      </c>
      <c r="H210" t="s">
        <v>275</v>
      </c>
      <c r="I210" s="51">
        <v>0</v>
      </c>
    </row>
    <row r="211" spans="1:9" x14ac:dyDescent="0.2">
      <c r="A211" t="s">
        <v>894</v>
      </c>
      <c r="B211" s="51" t="s">
        <v>1371</v>
      </c>
      <c r="C211" s="51">
        <v>0</v>
      </c>
      <c r="D211" t="s">
        <v>1149</v>
      </c>
      <c r="E211" s="51">
        <v>3</v>
      </c>
      <c r="F211" t="s">
        <v>281</v>
      </c>
      <c r="G211" s="51">
        <v>0</v>
      </c>
      <c r="H211" t="s">
        <v>281</v>
      </c>
      <c r="I211" s="51">
        <v>0</v>
      </c>
    </row>
    <row r="212" spans="1:9" x14ac:dyDescent="0.2">
      <c r="A212" t="s">
        <v>1181</v>
      </c>
      <c r="B212" s="51" t="s">
        <v>1372</v>
      </c>
      <c r="C212" s="51">
        <v>0</v>
      </c>
      <c r="D212" t="s">
        <v>1149</v>
      </c>
      <c r="E212" s="51">
        <v>3</v>
      </c>
      <c r="F212" t="s">
        <v>281</v>
      </c>
      <c r="G212" s="51">
        <v>0</v>
      </c>
      <c r="H212" t="s">
        <v>281</v>
      </c>
      <c r="I212" s="51">
        <v>0</v>
      </c>
    </row>
    <row r="213" spans="1:9" x14ac:dyDescent="0.2">
      <c r="A213" t="s">
        <v>889</v>
      </c>
      <c r="B213" s="51" t="s">
        <v>1373</v>
      </c>
      <c r="C213" s="51">
        <v>1</v>
      </c>
      <c r="D213" t="s">
        <v>1149</v>
      </c>
      <c r="E213" s="51">
        <v>5</v>
      </c>
      <c r="F213" t="s">
        <v>279</v>
      </c>
      <c r="G213" s="51">
        <v>0</v>
      </c>
      <c r="H213" t="s">
        <v>279</v>
      </c>
      <c r="I213" s="51">
        <v>0</v>
      </c>
    </row>
    <row r="214" spans="1:9" x14ac:dyDescent="0.2">
      <c r="A214" t="s">
        <v>893</v>
      </c>
      <c r="B214" s="51" t="s">
        <v>1374</v>
      </c>
      <c r="C214" s="51">
        <v>0</v>
      </c>
      <c r="D214" t="s">
        <v>1149</v>
      </c>
      <c r="E214" s="51">
        <v>1</v>
      </c>
      <c r="F214" t="s">
        <v>275</v>
      </c>
      <c r="G214" s="51">
        <v>0</v>
      </c>
      <c r="H214" t="s">
        <v>275</v>
      </c>
      <c r="I214" s="51">
        <v>0</v>
      </c>
    </row>
    <row r="215" spans="1:9" x14ac:dyDescent="0.2">
      <c r="A215" t="s">
        <v>883</v>
      </c>
      <c r="B215" s="51" t="s">
        <v>1375</v>
      </c>
      <c r="C215" s="51">
        <v>0</v>
      </c>
      <c r="D215" t="s">
        <v>1149</v>
      </c>
      <c r="E215" s="51">
        <v>1</v>
      </c>
      <c r="F215" t="s">
        <v>275</v>
      </c>
      <c r="G215" s="51">
        <v>0</v>
      </c>
      <c r="H215" t="s">
        <v>275</v>
      </c>
      <c r="I215" s="51">
        <v>0</v>
      </c>
    </row>
    <row r="216" spans="1:9" x14ac:dyDescent="0.2">
      <c r="A216" t="s">
        <v>841</v>
      </c>
      <c r="B216" s="51" t="s">
        <v>1376</v>
      </c>
      <c r="C216" s="51">
        <v>0</v>
      </c>
      <c r="D216" t="s">
        <v>1149</v>
      </c>
      <c r="E216" s="51">
        <v>1</v>
      </c>
      <c r="F216" t="s">
        <v>275</v>
      </c>
      <c r="G216" s="51">
        <v>0</v>
      </c>
      <c r="H216" t="s">
        <v>275</v>
      </c>
      <c r="I216" s="51">
        <v>0</v>
      </c>
    </row>
    <row r="217" spans="1:9" x14ac:dyDescent="0.2">
      <c r="A217" t="s">
        <v>1182</v>
      </c>
      <c r="B217" s="51" t="s">
        <v>1377</v>
      </c>
      <c r="C217" s="51">
        <v>0</v>
      </c>
      <c r="D217" t="s">
        <v>1149</v>
      </c>
      <c r="E217" s="51">
        <v>3</v>
      </c>
      <c r="F217" t="s">
        <v>281</v>
      </c>
      <c r="G217" s="51">
        <v>0</v>
      </c>
      <c r="H217" t="s">
        <v>281</v>
      </c>
      <c r="I217" s="51">
        <v>0</v>
      </c>
    </row>
    <row r="218" spans="1:9" x14ac:dyDescent="0.2">
      <c r="A218" t="s">
        <v>871</v>
      </c>
      <c r="B218" s="51" t="s">
        <v>1378</v>
      </c>
      <c r="C218" s="51">
        <v>0</v>
      </c>
      <c r="D218" t="s">
        <v>1149</v>
      </c>
      <c r="E218" s="51">
        <v>1</v>
      </c>
      <c r="F218" t="s">
        <v>275</v>
      </c>
      <c r="G218" s="51">
        <v>0</v>
      </c>
      <c r="H218" t="s">
        <v>275</v>
      </c>
      <c r="I218" s="51">
        <v>0</v>
      </c>
    </row>
    <row r="219" spans="1:9" x14ac:dyDescent="0.2">
      <c r="A219" t="s">
        <v>873</v>
      </c>
      <c r="B219" s="51" t="s">
        <v>1379</v>
      </c>
      <c r="C219" s="51">
        <v>0</v>
      </c>
      <c r="D219" t="s">
        <v>1149</v>
      </c>
      <c r="E219" s="51">
        <v>1</v>
      </c>
      <c r="F219" t="s">
        <v>275</v>
      </c>
      <c r="G219" s="51">
        <v>0</v>
      </c>
      <c r="H219" t="s">
        <v>275</v>
      </c>
      <c r="I219" s="51">
        <v>0</v>
      </c>
    </row>
    <row r="220" spans="1:9" x14ac:dyDescent="0.2">
      <c r="A220" t="s">
        <v>874</v>
      </c>
      <c r="B220" s="51" t="s">
        <v>1380</v>
      </c>
      <c r="C220" s="51">
        <v>0</v>
      </c>
      <c r="D220" t="s">
        <v>1149</v>
      </c>
      <c r="E220" s="51">
        <v>1</v>
      </c>
      <c r="F220" t="s">
        <v>275</v>
      </c>
      <c r="G220" s="51">
        <v>0</v>
      </c>
      <c r="H220" t="s">
        <v>275</v>
      </c>
      <c r="I220" s="51">
        <v>0</v>
      </c>
    </row>
    <row r="221" spans="1:9" x14ac:dyDescent="0.2">
      <c r="A221" t="s">
        <v>872</v>
      </c>
      <c r="B221" s="51" t="s">
        <v>1381</v>
      </c>
      <c r="C221" s="51">
        <v>0</v>
      </c>
      <c r="D221" t="s">
        <v>1149</v>
      </c>
      <c r="E221" s="51">
        <v>1</v>
      </c>
      <c r="F221" t="s">
        <v>275</v>
      </c>
      <c r="G221" s="51">
        <v>0</v>
      </c>
      <c r="H221" t="s">
        <v>275</v>
      </c>
      <c r="I221" s="51">
        <v>0</v>
      </c>
    </row>
    <row r="222" spans="1:9" x14ac:dyDescent="0.2">
      <c r="A222" t="s">
        <v>875</v>
      </c>
      <c r="B222" s="51" t="s">
        <v>1382</v>
      </c>
      <c r="C222" s="51">
        <v>0</v>
      </c>
      <c r="D222" t="s">
        <v>1149</v>
      </c>
      <c r="E222" s="51">
        <v>3</v>
      </c>
      <c r="F222" t="s">
        <v>281</v>
      </c>
      <c r="G222" s="51">
        <v>0</v>
      </c>
      <c r="H222" t="s">
        <v>281</v>
      </c>
      <c r="I222" s="51">
        <v>0</v>
      </c>
    </row>
    <row r="223" spans="1:9" x14ac:dyDescent="0.2">
      <c r="A223" t="s">
        <v>876</v>
      </c>
      <c r="B223" s="51" t="s">
        <v>1383</v>
      </c>
      <c r="C223" s="51">
        <v>0</v>
      </c>
      <c r="D223" t="s">
        <v>1149</v>
      </c>
      <c r="E223" s="51">
        <v>1</v>
      </c>
      <c r="F223" t="s">
        <v>275</v>
      </c>
      <c r="G223" s="51">
        <v>0</v>
      </c>
      <c r="H223" t="s">
        <v>275</v>
      </c>
      <c r="I223" s="51">
        <v>0</v>
      </c>
    </row>
    <row r="224" spans="1:9" x14ac:dyDescent="0.2">
      <c r="A224" t="s">
        <v>868</v>
      </c>
      <c r="B224" s="51" t="s">
        <v>1384</v>
      </c>
      <c r="C224" s="51">
        <v>0</v>
      </c>
      <c r="D224" t="s">
        <v>1149</v>
      </c>
      <c r="E224" s="51">
        <v>1</v>
      </c>
      <c r="F224" t="s">
        <v>275</v>
      </c>
      <c r="G224" s="51">
        <v>0</v>
      </c>
      <c r="H224" t="s">
        <v>275</v>
      </c>
      <c r="I224" s="51">
        <v>0</v>
      </c>
    </row>
    <row r="225" spans="1:9" x14ac:dyDescent="0.2">
      <c r="A225" t="s">
        <v>829</v>
      </c>
      <c r="B225" s="51" t="s">
        <v>1385</v>
      </c>
      <c r="C225" s="51">
        <v>0</v>
      </c>
      <c r="D225" t="s">
        <v>1149</v>
      </c>
      <c r="E225" s="51">
        <v>1</v>
      </c>
      <c r="F225" t="s">
        <v>275</v>
      </c>
      <c r="G225" s="51">
        <v>0</v>
      </c>
      <c r="H225" t="s">
        <v>275</v>
      </c>
      <c r="I225" s="51">
        <v>0</v>
      </c>
    </row>
    <row r="226" spans="1:9" x14ac:dyDescent="0.2">
      <c r="A226" t="s">
        <v>885</v>
      </c>
      <c r="B226" s="51" t="s">
        <v>1386</v>
      </c>
      <c r="C226" s="51">
        <v>0</v>
      </c>
      <c r="D226" t="s">
        <v>1149</v>
      </c>
      <c r="E226" s="51">
        <v>1</v>
      </c>
      <c r="F226" t="s">
        <v>275</v>
      </c>
      <c r="G226" s="51">
        <v>0</v>
      </c>
      <c r="H226" t="s">
        <v>275</v>
      </c>
      <c r="I226" s="51">
        <v>0</v>
      </c>
    </row>
    <row r="227" spans="1:9" x14ac:dyDescent="0.2">
      <c r="A227" t="s">
        <v>1183</v>
      </c>
      <c r="B227" s="51" t="s">
        <v>1387</v>
      </c>
      <c r="C227" s="51">
        <v>0</v>
      </c>
      <c r="D227" t="s">
        <v>1149</v>
      </c>
      <c r="E227" s="51">
        <v>1</v>
      </c>
      <c r="F227" t="s">
        <v>275</v>
      </c>
      <c r="G227" s="51">
        <v>0</v>
      </c>
      <c r="H227" t="s">
        <v>275</v>
      </c>
      <c r="I227" s="51">
        <v>0</v>
      </c>
    </row>
    <row r="228" spans="1:9" x14ac:dyDescent="0.2">
      <c r="A228" t="s">
        <v>1184</v>
      </c>
      <c r="B228" s="51" t="s">
        <v>1388</v>
      </c>
      <c r="C228" s="51">
        <v>0</v>
      </c>
      <c r="D228" t="s">
        <v>1149</v>
      </c>
      <c r="E228" s="51">
        <v>1</v>
      </c>
      <c r="F228" t="s">
        <v>275</v>
      </c>
      <c r="G228" s="51">
        <v>0</v>
      </c>
      <c r="H228" t="s">
        <v>275</v>
      </c>
      <c r="I228" s="51">
        <v>0</v>
      </c>
    </row>
    <row r="229" spans="1:9" x14ac:dyDescent="0.2">
      <c r="A229" t="s">
        <v>888</v>
      </c>
      <c r="B229" s="51" t="s">
        <v>1389</v>
      </c>
      <c r="C229" s="51">
        <v>0</v>
      </c>
      <c r="D229" t="s">
        <v>1149</v>
      </c>
      <c r="E229" s="51">
        <v>1</v>
      </c>
      <c r="F229" t="s">
        <v>275</v>
      </c>
      <c r="G229" s="51">
        <v>0</v>
      </c>
      <c r="H229" t="s">
        <v>275</v>
      </c>
      <c r="I229" s="51">
        <v>0</v>
      </c>
    </row>
    <row r="230" spans="1:9" x14ac:dyDescent="0.2">
      <c r="A230" t="s">
        <v>848</v>
      </c>
      <c r="B230" s="51" t="s">
        <v>1390</v>
      </c>
      <c r="C230" s="51">
        <v>0</v>
      </c>
      <c r="D230" t="s">
        <v>1149</v>
      </c>
      <c r="E230" s="51">
        <v>1</v>
      </c>
      <c r="F230" t="s">
        <v>275</v>
      </c>
      <c r="G230" s="51">
        <v>0</v>
      </c>
      <c r="H230" t="s">
        <v>275</v>
      </c>
      <c r="I230" s="51">
        <v>0</v>
      </c>
    </row>
    <row r="231" spans="1:9" x14ac:dyDescent="0.2">
      <c r="A231" t="s">
        <v>812</v>
      </c>
      <c r="B231" s="51" t="s">
        <v>1391</v>
      </c>
      <c r="C231" s="51">
        <v>0</v>
      </c>
      <c r="D231" t="s">
        <v>1149</v>
      </c>
      <c r="E231" s="51">
        <v>5</v>
      </c>
      <c r="F231" t="s">
        <v>731</v>
      </c>
      <c r="G231" s="51">
        <v>1</v>
      </c>
      <c r="H231" t="s">
        <v>279</v>
      </c>
      <c r="I231" s="51">
        <v>0</v>
      </c>
    </row>
    <row r="232" spans="1:9" x14ac:dyDescent="0.2">
      <c r="A232" t="s">
        <v>858</v>
      </c>
      <c r="B232" s="51" t="s">
        <v>1392</v>
      </c>
      <c r="C232" s="51">
        <v>0</v>
      </c>
      <c r="D232" t="s">
        <v>1149</v>
      </c>
      <c r="E232" s="51">
        <v>1</v>
      </c>
      <c r="F232" t="s">
        <v>275</v>
      </c>
      <c r="G232" s="51">
        <v>0</v>
      </c>
      <c r="H232" t="s">
        <v>275</v>
      </c>
      <c r="I232" s="51">
        <v>0</v>
      </c>
    </row>
    <row r="233" spans="1:9" x14ac:dyDescent="0.2">
      <c r="A233" t="s">
        <v>825</v>
      </c>
      <c r="B233" s="51" t="s">
        <v>1393</v>
      </c>
      <c r="C233" s="51">
        <v>0</v>
      </c>
      <c r="D233" t="s">
        <v>1149</v>
      </c>
      <c r="E233" s="51">
        <v>3</v>
      </c>
      <c r="F233" t="s">
        <v>281</v>
      </c>
      <c r="G233" s="51">
        <v>0</v>
      </c>
      <c r="H233" t="s">
        <v>281</v>
      </c>
      <c r="I233" s="51">
        <v>0</v>
      </c>
    </row>
    <row r="234" spans="1:9" x14ac:dyDescent="0.2">
      <c r="A234" t="s">
        <v>1185</v>
      </c>
      <c r="B234" s="51" t="s">
        <v>1394</v>
      </c>
      <c r="C234" s="51">
        <v>0</v>
      </c>
      <c r="D234" t="s">
        <v>1149</v>
      </c>
      <c r="E234" s="51">
        <v>3</v>
      </c>
      <c r="F234" t="s">
        <v>281</v>
      </c>
      <c r="G234" s="51">
        <v>0</v>
      </c>
      <c r="H234" t="s">
        <v>281</v>
      </c>
      <c r="I234" s="51">
        <v>0</v>
      </c>
    </row>
    <row r="235" spans="1:9" x14ac:dyDescent="0.2">
      <c r="A235" t="s">
        <v>830</v>
      </c>
      <c r="B235" s="51" t="s">
        <v>1395</v>
      </c>
      <c r="C235" s="51">
        <v>0</v>
      </c>
      <c r="D235" t="s">
        <v>1149</v>
      </c>
      <c r="E235" s="51">
        <v>1</v>
      </c>
      <c r="F235" t="s">
        <v>275</v>
      </c>
      <c r="G235" s="51">
        <v>0</v>
      </c>
      <c r="H235" t="s">
        <v>275</v>
      </c>
      <c r="I235" s="51">
        <v>0</v>
      </c>
    </row>
    <row r="236" spans="1:9" x14ac:dyDescent="0.2">
      <c r="A236" t="s">
        <v>846</v>
      </c>
      <c r="B236" s="51" t="s">
        <v>1396</v>
      </c>
      <c r="C236" s="51">
        <v>0</v>
      </c>
      <c r="D236" t="s">
        <v>1149</v>
      </c>
      <c r="E236" s="51">
        <v>1</v>
      </c>
      <c r="F236" t="s">
        <v>275</v>
      </c>
      <c r="G236" s="51">
        <v>0</v>
      </c>
      <c r="H236" t="s">
        <v>275</v>
      </c>
      <c r="I236" s="51">
        <v>0</v>
      </c>
    </row>
    <row r="237" spans="1:9" x14ac:dyDescent="0.2">
      <c r="A237" t="s">
        <v>834</v>
      </c>
      <c r="B237" s="51" t="s">
        <v>1397</v>
      </c>
      <c r="C237" s="51">
        <v>0</v>
      </c>
      <c r="D237" t="s">
        <v>1149</v>
      </c>
      <c r="E237" s="51">
        <v>1</v>
      </c>
      <c r="F237" t="s">
        <v>275</v>
      </c>
      <c r="G237" s="51">
        <v>0</v>
      </c>
      <c r="H237" t="s">
        <v>275</v>
      </c>
      <c r="I237" s="51">
        <v>0</v>
      </c>
    </row>
    <row r="238" spans="1:9" x14ac:dyDescent="0.2">
      <c r="A238" t="s">
        <v>822</v>
      </c>
      <c r="B238" s="51" t="s">
        <v>1398</v>
      </c>
      <c r="C238" s="51">
        <v>0</v>
      </c>
      <c r="D238" t="s">
        <v>1149</v>
      </c>
      <c r="E238" s="51">
        <v>3</v>
      </c>
      <c r="F238" t="s">
        <v>281</v>
      </c>
      <c r="G238" s="51">
        <v>0</v>
      </c>
      <c r="H238" t="s">
        <v>281</v>
      </c>
      <c r="I238" s="51">
        <v>0</v>
      </c>
    </row>
    <row r="239" spans="1:9" x14ac:dyDescent="0.2">
      <c r="A239" t="s">
        <v>800</v>
      </c>
      <c r="B239" s="51" t="s">
        <v>1399</v>
      </c>
      <c r="C239" s="51">
        <v>0</v>
      </c>
      <c r="D239" t="s">
        <v>1149</v>
      </c>
      <c r="E239" s="51">
        <v>1</v>
      </c>
      <c r="F239" t="s">
        <v>275</v>
      </c>
      <c r="G239" s="51">
        <v>0</v>
      </c>
      <c r="H239" t="s">
        <v>275</v>
      </c>
      <c r="I239" s="51">
        <v>0</v>
      </c>
    </row>
    <row r="240" spans="1:9" x14ac:dyDescent="0.2">
      <c r="A240" t="s">
        <v>887</v>
      </c>
      <c r="B240" s="51" t="s">
        <v>1400</v>
      </c>
      <c r="C240" s="51">
        <v>0</v>
      </c>
      <c r="D240" t="s">
        <v>1149</v>
      </c>
      <c r="E240" s="51">
        <v>1</v>
      </c>
      <c r="F240" t="s">
        <v>275</v>
      </c>
      <c r="G240" s="51">
        <v>0</v>
      </c>
      <c r="H240" t="s">
        <v>275</v>
      </c>
      <c r="I240" s="51">
        <v>0</v>
      </c>
    </row>
    <row r="241" spans="1:9" x14ac:dyDescent="0.2">
      <c r="A241" t="s">
        <v>862</v>
      </c>
      <c r="B241" s="51" t="s">
        <v>1401</v>
      </c>
      <c r="C241" s="51">
        <v>0</v>
      </c>
      <c r="D241" t="s">
        <v>1149</v>
      </c>
      <c r="E241" s="51">
        <v>1</v>
      </c>
      <c r="F241" t="s">
        <v>275</v>
      </c>
      <c r="G241" s="51">
        <v>0</v>
      </c>
      <c r="H241" t="s">
        <v>275</v>
      </c>
      <c r="I241" s="51">
        <v>0</v>
      </c>
    </row>
    <row r="242" spans="1:9" x14ac:dyDescent="0.2">
      <c r="A242" t="s">
        <v>877</v>
      </c>
      <c r="B242" s="51" t="s">
        <v>1402</v>
      </c>
      <c r="C242" s="51">
        <v>0</v>
      </c>
      <c r="D242" t="s">
        <v>1149</v>
      </c>
      <c r="E242" s="51">
        <v>1</v>
      </c>
      <c r="F242" t="s">
        <v>275</v>
      </c>
      <c r="G242" s="51">
        <v>0</v>
      </c>
      <c r="H242" t="s">
        <v>275</v>
      </c>
      <c r="I242" s="51">
        <v>0</v>
      </c>
    </row>
    <row r="243" spans="1:9" x14ac:dyDescent="0.2">
      <c r="A243" t="s">
        <v>870</v>
      </c>
      <c r="B243" s="51" t="s">
        <v>1403</v>
      </c>
      <c r="C243" s="51">
        <v>0</v>
      </c>
      <c r="D243" t="s">
        <v>1149</v>
      </c>
      <c r="E243" s="51">
        <v>1</v>
      </c>
      <c r="F243" t="s">
        <v>275</v>
      </c>
      <c r="G243" s="51">
        <v>0</v>
      </c>
      <c r="H243" t="s">
        <v>275</v>
      </c>
      <c r="I243" s="51">
        <v>0</v>
      </c>
    </row>
    <row r="244" spans="1:9" x14ac:dyDescent="0.2">
      <c r="A244" t="s">
        <v>808</v>
      </c>
      <c r="B244" s="51" t="s">
        <v>1404</v>
      </c>
      <c r="C244" s="51">
        <v>0</v>
      </c>
      <c r="D244" t="s">
        <v>1149</v>
      </c>
      <c r="E244" s="51">
        <v>3</v>
      </c>
      <c r="F244" t="s">
        <v>281</v>
      </c>
      <c r="G244" s="51">
        <v>0</v>
      </c>
      <c r="H244" t="s">
        <v>281</v>
      </c>
      <c r="I244" s="51">
        <v>0</v>
      </c>
    </row>
    <row r="245" spans="1:9" x14ac:dyDescent="0.2">
      <c r="A245" t="s">
        <v>880</v>
      </c>
      <c r="B245" s="51" t="s">
        <v>1405</v>
      </c>
      <c r="C245" s="51">
        <v>0</v>
      </c>
      <c r="D245" t="s">
        <v>1149</v>
      </c>
      <c r="E245" s="51">
        <v>1</v>
      </c>
      <c r="F245" t="s">
        <v>275</v>
      </c>
      <c r="G245" s="51">
        <v>0</v>
      </c>
      <c r="H245" t="s">
        <v>275</v>
      </c>
      <c r="I245" s="51">
        <v>0</v>
      </c>
    </row>
    <row r="246" spans="1:9" x14ac:dyDescent="0.2">
      <c r="A246" t="s">
        <v>810</v>
      </c>
      <c r="B246" s="51" t="s">
        <v>1406</v>
      </c>
      <c r="C246" s="51">
        <v>0</v>
      </c>
      <c r="D246" t="s">
        <v>1149</v>
      </c>
      <c r="E246" s="51">
        <v>5</v>
      </c>
      <c r="F246" t="s">
        <v>731</v>
      </c>
      <c r="G246" s="51">
        <v>1</v>
      </c>
      <c r="H246" t="s">
        <v>279</v>
      </c>
      <c r="I246" s="51">
        <v>0</v>
      </c>
    </row>
    <row r="247" spans="1:9" x14ac:dyDescent="0.2">
      <c r="A247" t="s">
        <v>856</v>
      </c>
      <c r="B247" s="51" t="s">
        <v>1407</v>
      </c>
      <c r="C247" s="51">
        <v>0</v>
      </c>
      <c r="D247" t="s">
        <v>1149</v>
      </c>
      <c r="E247" s="51">
        <v>1</v>
      </c>
      <c r="F247" t="s">
        <v>275</v>
      </c>
      <c r="G247" s="51">
        <v>0</v>
      </c>
      <c r="H247" t="s">
        <v>275</v>
      </c>
      <c r="I247" s="51">
        <v>0</v>
      </c>
    </row>
    <row r="248" spans="1:9" x14ac:dyDescent="0.2">
      <c r="A248" t="s">
        <v>1186</v>
      </c>
      <c r="B248" s="51" t="s">
        <v>1408</v>
      </c>
      <c r="C248" s="51">
        <v>0</v>
      </c>
      <c r="D248" t="s">
        <v>1149</v>
      </c>
      <c r="E248" s="51">
        <v>3</v>
      </c>
      <c r="F248" t="s">
        <v>281</v>
      </c>
      <c r="G248" s="51">
        <v>0</v>
      </c>
      <c r="H248" t="s">
        <v>281</v>
      </c>
      <c r="I248" s="51">
        <v>0</v>
      </c>
    </row>
    <row r="249" spans="1:9" x14ac:dyDescent="0.2">
      <c r="A249" t="s">
        <v>821</v>
      </c>
      <c r="B249" s="51" t="s">
        <v>1409</v>
      </c>
      <c r="C249" s="51">
        <v>0</v>
      </c>
      <c r="D249" t="s">
        <v>1149</v>
      </c>
      <c r="E249" s="51">
        <v>3</v>
      </c>
      <c r="F249" t="s">
        <v>281</v>
      </c>
      <c r="G249" s="51">
        <v>0</v>
      </c>
      <c r="H249" t="s">
        <v>281</v>
      </c>
      <c r="I249" s="51">
        <v>0</v>
      </c>
    </row>
    <row r="250" spans="1:9" x14ac:dyDescent="0.2">
      <c r="A250" t="s">
        <v>820</v>
      </c>
      <c r="B250" s="51" t="s">
        <v>1410</v>
      </c>
      <c r="C250" s="51">
        <v>0</v>
      </c>
      <c r="D250" t="s">
        <v>1149</v>
      </c>
      <c r="E250" s="51">
        <v>3</v>
      </c>
      <c r="F250" t="s">
        <v>281</v>
      </c>
      <c r="G250" s="51">
        <v>0</v>
      </c>
      <c r="H250" t="s">
        <v>281</v>
      </c>
      <c r="I250" s="51">
        <v>0</v>
      </c>
    </row>
    <row r="251" spans="1:9" x14ac:dyDescent="0.2">
      <c r="A251" t="s">
        <v>801</v>
      </c>
      <c r="B251" s="51" t="s">
        <v>1411</v>
      </c>
      <c r="C251" s="51">
        <v>0</v>
      </c>
      <c r="D251" t="s">
        <v>1149</v>
      </c>
      <c r="E251" s="51">
        <v>3</v>
      </c>
      <c r="F251" t="s">
        <v>281</v>
      </c>
      <c r="G251" s="51">
        <v>0</v>
      </c>
      <c r="H251" t="s">
        <v>281</v>
      </c>
      <c r="I251" s="51">
        <v>0</v>
      </c>
    </row>
    <row r="252" spans="1:9" x14ac:dyDescent="0.2">
      <c r="A252" t="s">
        <v>816</v>
      </c>
      <c r="B252" s="51" t="s">
        <v>1412</v>
      </c>
      <c r="C252" s="51">
        <v>0</v>
      </c>
      <c r="D252" t="s">
        <v>1149</v>
      </c>
      <c r="E252" s="51">
        <v>5</v>
      </c>
      <c r="F252" t="s">
        <v>279</v>
      </c>
      <c r="G252" s="51">
        <v>0</v>
      </c>
      <c r="H252" t="s">
        <v>279</v>
      </c>
      <c r="I252" s="51">
        <v>0</v>
      </c>
    </row>
    <row r="253" spans="1:9" x14ac:dyDescent="0.2">
      <c r="A253" t="s">
        <v>817</v>
      </c>
      <c r="B253" s="51" t="s">
        <v>1413</v>
      </c>
      <c r="C253" s="51">
        <v>0</v>
      </c>
      <c r="D253" t="s">
        <v>1149</v>
      </c>
      <c r="E253" s="51">
        <v>5</v>
      </c>
      <c r="F253" t="s">
        <v>279</v>
      </c>
      <c r="G253" s="51">
        <v>0</v>
      </c>
      <c r="H253" t="s">
        <v>279</v>
      </c>
      <c r="I253" s="51">
        <v>0</v>
      </c>
    </row>
    <row r="254" spans="1:9" x14ac:dyDescent="0.2">
      <c r="A254" t="s">
        <v>826</v>
      </c>
      <c r="B254" s="51" t="s">
        <v>1414</v>
      </c>
      <c r="C254" s="51">
        <v>0</v>
      </c>
      <c r="D254" t="s">
        <v>1149</v>
      </c>
      <c r="E254" s="51">
        <v>3</v>
      </c>
      <c r="F254" t="s">
        <v>281</v>
      </c>
      <c r="G254" s="51">
        <v>0</v>
      </c>
      <c r="H254" t="s">
        <v>281</v>
      </c>
      <c r="I254" s="51">
        <v>0</v>
      </c>
    </row>
    <row r="255" spans="1:9" x14ac:dyDescent="0.2">
      <c r="A255" t="s">
        <v>1187</v>
      </c>
      <c r="B255" s="51" t="s">
        <v>1415</v>
      </c>
      <c r="C255" s="51">
        <v>0</v>
      </c>
      <c r="D255" t="s">
        <v>1149</v>
      </c>
      <c r="E255" s="51">
        <v>3</v>
      </c>
      <c r="F255" t="s">
        <v>281</v>
      </c>
      <c r="G255" s="51">
        <v>0</v>
      </c>
      <c r="H255" t="s">
        <v>281</v>
      </c>
      <c r="I255" s="51">
        <v>0</v>
      </c>
    </row>
    <row r="256" spans="1:9" x14ac:dyDescent="0.2">
      <c r="A256" t="s">
        <v>839</v>
      </c>
      <c r="B256" s="51" t="s">
        <v>1416</v>
      </c>
      <c r="C256" s="51">
        <v>0</v>
      </c>
      <c r="D256" t="s">
        <v>1149</v>
      </c>
      <c r="E256" s="51">
        <v>1</v>
      </c>
      <c r="F256" t="s">
        <v>275</v>
      </c>
      <c r="G256" s="51">
        <v>0</v>
      </c>
      <c r="H256" t="s">
        <v>275</v>
      </c>
      <c r="I256" s="51">
        <v>0</v>
      </c>
    </row>
    <row r="257" spans="1:9" x14ac:dyDescent="0.2">
      <c r="A257" t="s">
        <v>836</v>
      </c>
      <c r="B257" s="51" t="s">
        <v>1417</v>
      </c>
      <c r="C257" s="51">
        <v>0</v>
      </c>
      <c r="D257" t="s">
        <v>1149</v>
      </c>
      <c r="E257" s="51">
        <v>5</v>
      </c>
      <c r="F257" t="s">
        <v>279</v>
      </c>
      <c r="G257" s="51">
        <v>0</v>
      </c>
      <c r="H257" t="s">
        <v>279</v>
      </c>
      <c r="I257" s="51">
        <v>0</v>
      </c>
    </row>
    <row r="258" spans="1:9" x14ac:dyDescent="0.2">
      <c r="A258" t="s">
        <v>828</v>
      </c>
      <c r="B258" s="51" t="s">
        <v>1418</v>
      </c>
      <c r="C258" s="51">
        <v>0</v>
      </c>
      <c r="D258" t="s">
        <v>1149</v>
      </c>
      <c r="E258" s="51">
        <v>1</v>
      </c>
      <c r="F258" t="s">
        <v>275</v>
      </c>
      <c r="G258" s="51">
        <v>0</v>
      </c>
      <c r="H258" t="s">
        <v>275</v>
      </c>
      <c r="I258" s="51">
        <v>0</v>
      </c>
    </row>
    <row r="259" spans="1:9" x14ac:dyDescent="0.2">
      <c r="A259" t="s">
        <v>809</v>
      </c>
      <c r="B259" s="51" t="s">
        <v>1419</v>
      </c>
      <c r="C259" s="51">
        <v>0</v>
      </c>
      <c r="D259" t="s">
        <v>1149</v>
      </c>
      <c r="E259" s="51">
        <v>3</v>
      </c>
      <c r="F259" t="s">
        <v>281</v>
      </c>
      <c r="G259" s="51">
        <v>0</v>
      </c>
      <c r="H259" t="s">
        <v>281</v>
      </c>
      <c r="I259" s="51">
        <v>0</v>
      </c>
    </row>
    <row r="260" spans="1:9" x14ac:dyDescent="0.2">
      <c r="A260" t="s">
        <v>852</v>
      </c>
      <c r="B260" s="51" t="s">
        <v>1420</v>
      </c>
      <c r="C260" s="51">
        <v>0</v>
      </c>
      <c r="D260" t="s">
        <v>1149</v>
      </c>
      <c r="E260" s="51">
        <v>1</v>
      </c>
      <c r="F260" t="s">
        <v>275</v>
      </c>
      <c r="G260" s="51">
        <v>0</v>
      </c>
      <c r="H260" t="s">
        <v>275</v>
      </c>
      <c r="I260" s="51">
        <v>0</v>
      </c>
    </row>
    <row r="261" spans="1:9" x14ac:dyDescent="0.2">
      <c r="A261" t="s">
        <v>855</v>
      </c>
      <c r="B261" s="51" t="s">
        <v>1421</v>
      </c>
      <c r="C261" s="51">
        <v>0</v>
      </c>
      <c r="D261" t="s">
        <v>1149</v>
      </c>
      <c r="E261" s="51">
        <v>1</v>
      </c>
      <c r="F261" t="s">
        <v>275</v>
      </c>
      <c r="G261" s="51">
        <v>0</v>
      </c>
      <c r="H261" t="s">
        <v>275</v>
      </c>
      <c r="I261" s="51">
        <v>0</v>
      </c>
    </row>
    <row r="262" spans="1:9" x14ac:dyDescent="0.2">
      <c r="A262" t="s">
        <v>818</v>
      </c>
      <c r="B262" s="51" t="s">
        <v>1422</v>
      </c>
      <c r="C262" s="51">
        <v>0</v>
      </c>
      <c r="D262" t="s">
        <v>1149</v>
      </c>
      <c r="E262" s="51">
        <v>5</v>
      </c>
      <c r="F262" t="s">
        <v>279</v>
      </c>
      <c r="G262" s="51">
        <v>0</v>
      </c>
      <c r="H262" t="s">
        <v>279</v>
      </c>
      <c r="I262" s="51">
        <v>0</v>
      </c>
    </row>
    <row r="263" spans="1:9" x14ac:dyDescent="0.2">
      <c r="A263" t="s">
        <v>840</v>
      </c>
      <c r="B263" s="51" t="s">
        <v>1423</v>
      </c>
      <c r="C263" s="51">
        <v>0</v>
      </c>
      <c r="D263" t="s">
        <v>1149</v>
      </c>
      <c r="E263" s="51">
        <v>1</v>
      </c>
      <c r="F263" t="s">
        <v>275</v>
      </c>
      <c r="G263" s="51">
        <v>0</v>
      </c>
      <c r="H263" t="s">
        <v>275</v>
      </c>
      <c r="I263" s="51">
        <v>0</v>
      </c>
    </row>
    <row r="264" spans="1:9" x14ac:dyDescent="0.2">
      <c r="A264" t="s">
        <v>798</v>
      </c>
      <c r="B264" s="51" t="s">
        <v>1424</v>
      </c>
      <c r="C264" s="51">
        <v>0</v>
      </c>
      <c r="D264" t="s">
        <v>1149</v>
      </c>
      <c r="E264" s="51">
        <v>1</v>
      </c>
      <c r="F264" t="s">
        <v>275</v>
      </c>
      <c r="G264" s="51">
        <v>0</v>
      </c>
      <c r="H264" t="s">
        <v>275</v>
      </c>
      <c r="I264" s="51">
        <v>0</v>
      </c>
    </row>
    <row r="265" spans="1:9" x14ac:dyDescent="0.2">
      <c r="A265" t="s">
        <v>796</v>
      </c>
      <c r="B265" s="51" t="s">
        <v>1425</v>
      </c>
      <c r="C265" s="51">
        <v>0</v>
      </c>
      <c r="D265" t="s">
        <v>1149</v>
      </c>
      <c r="E265" s="51">
        <v>1</v>
      </c>
      <c r="F265" t="s">
        <v>275</v>
      </c>
      <c r="G265" s="51">
        <v>0</v>
      </c>
      <c r="H265" t="s">
        <v>275</v>
      </c>
      <c r="I265" s="51">
        <v>0</v>
      </c>
    </row>
    <row r="266" spans="1:9" x14ac:dyDescent="0.2">
      <c r="A266" t="s">
        <v>878</v>
      </c>
      <c r="B266" s="51" t="s">
        <v>1426</v>
      </c>
      <c r="C266" s="51">
        <v>0</v>
      </c>
      <c r="D266" t="s">
        <v>1149</v>
      </c>
      <c r="E266" s="51">
        <v>1</v>
      </c>
      <c r="F266" t="s">
        <v>275</v>
      </c>
      <c r="G266" s="51">
        <v>0</v>
      </c>
      <c r="H266" t="s">
        <v>275</v>
      </c>
      <c r="I266" s="51">
        <v>0</v>
      </c>
    </row>
    <row r="267" spans="1:9" x14ac:dyDescent="0.2">
      <c r="A267" t="s">
        <v>884</v>
      </c>
      <c r="B267" s="51" t="s">
        <v>1427</v>
      </c>
      <c r="C267" s="51">
        <v>0</v>
      </c>
      <c r="D267" t="s">
        <v>1149</v>
      </c>
      <c r="E267" s="51">
        <v>5</v>
      </c>
      <c r="F267" t="s">
        <v>731</v>
      </c>
      <c r="G267" s="51">
        <v>1</v>
      </c>
      <c r="H267" t="s">
        <v>279</v>
      </c>
      <c r="I267" s="51">
        <v>0</v>
      </c>
    </row>
    <row r="268" spans="1:9" x14ac:dyDescent="0.2">
      <c r="A268" t="s">
        <v>827</v>
      </c>
      <c r="B268" s="51" t="s">
        <v>1428</v>
      </c>
      <c r="C268" s="51">
        <v>0</v>
      </c>
      <c r="D268" t="s">
        <v>1149</v>
      </c>
      <c r="E268" s="51">
        <v>1</v>
      </c>
      <c r="F268" t="s">
        <v>275</v>
      </c>
      <c r="G268" s="51">
        <v>0</v>
      </c>
      <c r="H268" t="s">
        <v>275</v>
      </c>
      <c r="I268" s="51">
        <v>0</v>
      </c>
    </row>
    <row r="269" spans="1:9" x14ac:dyDescent="0.2">
      <c r="A269" t="s">
        <v>904</v>
      </c>
      <c r="B269" s="51" t="s">
        <v>1429</v>
      </c>
      <c r="C269" s="51">
        <v>0</v>
      </c>
      <c r="D269" t="s">
        <v>1149</v>
      </c>
      <c r="E269" s="51">
        <v>3</v>
      </c>
      <c r="F269" t="s">
        <v>281</v>
      </c>
      <c r="G269" s="51">
        <v>0</v>
      </c>
      <c r="H269" t="s">
        <v>281</v>
      </c>
      <c r="I269" s="51">
        <v>0</v>
      </c>
    </row>
    <row r="270" spans="1:9" x14ac:dyDescent="0.2">
      <c r="A270" t="s">
        <v>811</v>
      </c>
      <c r="B270" s="51" t="s">
        <v>1430</v>
      </c>
      <c r="C270" s="51">
        <v>0</v>
      </c>
      <c r="D270" t="s">
        <v>1149</v>
      </c>
      <c r="E270" s="51">
        <v>5</v>
      </c>
      <c r="F270" t="s">
        <v>731</v>
      </c>
      <c r="G270" s="51">
        <v>1</v>
      </c>
      <c r="H270" t="s">
        <v>279</v>
      </c>
      <c r="I270" s="51">
        <v>0</v>
      </c>
    </row>
    <row r="271" spans="1:9" x14ac:dyDescent="0.2">
      <c r="A271" t="s">
        <v>1014</v>
      </c>
      <c r="B271" s="51" t="s">
        <v>1431</v>
      </c>
      <c r="C271" s="51">
        <v>1</v>
      </c>
      <c r="D271" t="s">
        <v>1149</v>
      </c>
      <c r="E271" s="51">
        <v>3</v>
      </c>
      <c r="F271" t="s">
        <v>281</v>
      </c>
      <c r="G271" s="51">
        <v>0</v>
      </c>
      <c r="H271" t="s">
        <v>281</v>
      </c>
      <c r="I271" s="51">
        <v>0</v>
      </c>
    </row>
    <row r="272" spans="1:9" x14ac:dyDescent="0.2">
      <c r="A272" t="s">
        <v>1007</v>
      </c>
      <c r="B272" s="51" t="s">
        <v>1432</v>
      </c>
      <c r="C272" s="51">
        <v>1</v>
      </c>
      <c r="D272" t="s">
        <v>1149</v>
      </c>
      <c r="E272" s="51">
        <v>5</v>
      </c>
      <c r="F272" t="s">
        <v>279</v>
      </c>
      <c r="G272" s="51">
        <v>0</v>
      </c>
      <c r="H272" t="s">
        <v>279</v>
      </c>
      <c r="I272" s="51">
        <v>0</v>
      </c>
    </row>
    <row r="273" spans="1:9" x14ac:dyDescent="0.2">
      <c r="A273" t="s">
        <v>843</v>
      </c>
      <c r="B273" s="51" t="s">
        <v>1433</v>
      </c>
      <c r="C273" s="51">
        <v>0</v>
      </c>
      <c r="D273" t="s">
        <v>1149</v>
      </c>
      <c r="E273" s="51">
        <v>1</v>
      </c>
      <c r="F273" t="s">
        <v>275</v>
      </c>
      <c r="G273" s="51">
        <v>0</v>
      </c>
      <c r="H273" t="s">
        <v>275</v>
      </c>
      <c r="I273" s="51">
        <v>0</v>
      </c>
    </row>
    <row r="274" spans="1:9" x14ac:dyDescent="0.2">
      <c r="A274" t="s">
        <v>1057</v>
      </c>
      <c r="B274" s="51" t="s">
        <v>1434</v>
      </c>
      <c r="C274" s="51">
        <v>0</v>
      </c>
      <c r="D274" t="s">
        <v>1149</v>
      </c>
      <c r="E274" s="51">
        <v>1</v>
      </c>
      <c r="F274" t="s">
        <v>275</v>
      </c>
      <c r="G274" s="51">
        <v>0</v>
      </c>
      <c r="H274" t="s">
        <v>275</v>
      </c>
      <c r="I274" s="51">
        <v>0</v>
      </c>
    </row>
    <row r="275" spans="1:9" x14ac:dyDescent="0.2">
      <c r="A275" t="s">
        <v>837</v>
      </c>
      <c r="B275" s="51" t="s">
        <v>1435</v>
      </c>
      <c r="C275" s="51">
        <v>0</v>
      </c>
      <c r="D275" t="s">
        <v>1149</v>
      </c>
      <c r="E275" s="51">
        <v>1</v>
      </c>
      <c r="F275" t="s">
        <v>275</v>
      </c>
      <c r="G275" s="51">
        <v>0</v>
      </c>
      <c r="H275" t="s">
        <v>275</v>
      </c>
      <c r="I275" s="51">
        <v>0</v>
      </c>
    </row>
    <row r="276" spans="1:9" x14ac:dyDescent="0.2">
      <c r="A276" t="s">
        <v>838</v>
      </c>
      <c r="B276" s="51" t="s">
        <v>1436</v>
      </c>
      <c r="C276" s="51">
        <v>0</v>
      </c>
      <c r="D276" t="s">
        <v>1149</v>
      </c>
      <c r="E276" s="51">
        <v>1</v>
      </c>
      <c r="F276" t="s">
        <v>275</v>
      </c>
      <c r="G276" s="51">
        <v>0</v>
      </c>
      <c r="H276" t="s">
        <v>275</v>
      </c>
      <c r="I276" s="51">
        <v>0</v>
      </c>
    </row>
    <row r="277" spans="1:9" x14ac:dyDescent="0.2">
      <c r="A277" t="s">
        <v>903</v>
      </c>
      <c r="B277" s="51" t="s">
        <v>1437</v>
      </c>
      <c r="C277" s="51">
        <v>0</v>
      </c>
      <c r="D277" t="s">
        <v>1149</v>
      </c>
      <c r="E277" s="51">
        <v>1</v>
      </c>
      <c r="F277" t="s">
        <v>275</v>
      </c>
      <c r="G277" s="51">
        <v>0</v>
      </c>
      <c r="H277" t="s">
        <v>275</v>
      </c>
      <c r="I277" s="51">
        <v>0</v>
      </c>
    </row>
    <row r="278" spans="1:9" x14ac:dyDescent="0.2">
      <c r="A278" t="s">
        <v>1090</v>
      </c>
      <c r="B278" s="51" t="s">
        <v>1438</v>
      </c>
      <c r="C278" s="51">
        <v>0</v>
      </c>
      <c r="D278" t="s">
        <v>1149</v>
      </c>
      <c r="E278" s="51">
        <v>1</v>
      </c>
      <c r="F278" t="s">
        <v>275</v>
      </c>
      <c r="G278" s="51">
        <v>0</v>
      </c>
      <c r="H278" t="s">
        <v>275</v>
      </c>
      <c r="I278" s="51">
        <v>0</v>
      </c>
    </row>
    <row r="279" spans="1:9" x14ac:dyDescent="0.2">
      <c r="A279" t="s">
        <v>813</v>
      </c>
      <c r="B279" s="51" t="s">
        <v>1439</v>
      </c>
      <c r="C279" s="51">
        <v>0</v>
      </c>
      <c r="D279" t="s">
        <v>1149</v>
      </c>
      <c r="E279" s="51">
        <v>1</v>
      </c>
      <c r="F279" t="s">
        <v>275</v>
      </c>
      <c r="G279" s="51">
        <v>0</v>
      </c>
      <c r="H279" t="s">
        <v>275</v>
      </c>
      <c r="I279" s="51">
        <v>0</v>
      </c>
    </row>
    <row r="280" spans="1:9" x14ac:dyDescent="0.2">
      <c r="A280" t="s">
        <v>835</v>
      </c>
      <c r="B280" s="51" t="s">
        <v>1440</v>
      </c>
      <c r="C280" s="51">
        <v>0</v>
      </c>
      <c r="D280" t="s">
        <v>1149</v>
      </c>
      <c r="E280" s="51">
        <v>1</v>
      </c>
      <c r="F280" t="s">
        <v>275</v>
      </c>
      <c r="G280" s="51">
        <v>0</v>
      </c>
      <c r="H280" t="s">
        <v>275</v>
      </c>
      <c r="I280" s="51">
        <v>0</v>
      </c>
    </row>
    <row r="281" spans="1:9" x14ac:dyDescent="0.2">
      <c r="A281" t="s">
        <v>902</v>
      </c>
      <c r="B281" s="51" t="s">
        <v>1441</v>
      </c>
      <c r="C281" s="51">
        <v>0</v>
      </c>
      <c r="D281" t="s">
        <v>1149</v>
      </c>
      <c r="E281" s="51">
        <v>1</v>
      </c>
      <c r="F281" t="s">
        <v>275</v>
      </c>
      <c r="G281" s="51">
        <v>0</v>
      </c>
      <c r="H281" t="s">
        <v>275</v>
      </c>
      <c r="I281" s="51">
        <v>0</v>
      </c>
    </row>
    <row r="282" spans="1:9" x14ac:dyDescent="0.2">
      <c r="A282" t="s">
        <v>921</v>
      </c>
      <c r="B282" s="51" t="s">
        <v>1442</v>
      </c>
      <c r="C282" s="51">
        <v>0</v>
      </c>
      <c r="D282" t="s">
        <v>1149</v>
      </c>
      <c r="E282" s="51">
        <v>1</v>
      </c>
      <c r="F282" t="s">
        <v>275</v>
      </c>
      <c r="G282" s="51">
        <v>0</v>
      </c>
      <c r="H282" t="s">
        <v>275</v>
      </c>
      <c r="I282" s="51">
        <v>0</v>
      </c>
    </row>
    <row r="283" spans="1:9" x14ac:dyDescent="0.2">
      <c r="A283" t="s">
        <v>920</v>
      </c>
      <c r="B283" s="51" t="s">
        <v>1443</v>
      </c>
      <c r="C283" s="51">
        <v>0</v>
      </c>
      <c r="D283" t="s">
        <v>1149</v>
      </c>
      <c r="E283" s="51">
        <v>1</v>
      </c>
      <c r="F283" t="s">
        <v>275</v>
      </c>
      <c r="G283" s="51">
        <v>0</v>
      </c>
      <c r="H283" t="s">
        <v>275</v>
      </c>
      <c r="I283" s="51">
        <v>0</v>
      </c>
    </row>
    <row r="284" spans="1:9" x14ac:dyDescent="0.2">
      <c r="A284" t="s">
        <v>1030</v>
      </c>
      <c r="B284" s="51" t="s">
        <v>1444</v>
      </c>
      <c r="C284" s="51">
        <v>0</v>
      </c>
      <c r="D284" t="s">
        <v>1149</v>
      </c>
      <c r="E284" s="51">
        <v>1</v>
      </c>
      <c r="F284" t="s">
        <v>275</v>
      </c>
      <c r="G284" s="51">
        <v>0</v>
      </c>
      <c r="H284" t="s">
        <v>275</v>
      </c>
      <c r="I284" s="51">
        <v>0</v>
      </c>
    </row>
    <row r="285" spans="1:9" x14ac:dyDescent="0.2">
      <c r="A285" t="s">
        <v>1031</v>
      </c>
      <c r="B285" s="51" t="s">
        <v>1445</v>
      </c>
      <c r="C285" s="51">
        <v>0</v>
      </c>
      <c r="D285" t="s">
        <v>1149</v>
      </c>
      <c r="E285" s="51">
        <v>1</v>
      </c>
      <c r="F285" t="s">
        <v>275</v>
      </c>
      <c r="G285" s="51">
        <v>0</v>
      </c>
      <c r="H285" t="s">
        <v>275</v>
      </c>
      <c r="I285" s="51">
        <v>0</v>
      </c>
    </row>
    <row r="286" spans="1:9" x14ac:dyDescent="0.2">
      <c r="A286" t="s">
        <v>1108</v>
      </c>
      <c r="B286" s="51" t="s">
        <v>1446</v>
      </c>
      <c r="C286" s="51">
        <v>0</v>
      </c>
      <c r="D286" t="s">
        <v>1149</v>
      </c>
      <c r="E286" s="51">
        <v>1</v>
      </c>
      <c r="F286" t="s">
        <v>275</v>
      </c>
      <c r="G286" s="51">
        <v>0</v>
      </c>
      <c r="H286" t="s">
        <v>275</v>
      </c>
      <c r="I286" s="51">
        <v>0</v>
      </c>
    </row>
    <row r="287" spans="1:9" x14ac:dyDescent="0.2">
      <c r="A287" t="s">
        <v>1053</v>
      </c>
      <c r="B287" s="51" t="s">
        <v>1447</v>
      </c>
      <c r="C287" s="51">
        <v>0</v>
      </c>
      <c r="D287" t="s">
        <v>1149</v>
      </c>
      <c r="E287" s="51">
        <v>1</v>
      </c>
      <c r="F287" t="s">
        <v>275</v>
      </c>
      <c r="G287" s="51">
        <v>0</v>
      </c>
      <c r="H287" t="s">
        <v>275</v>
      </c>
      <c r="I287" s="51">
        <v>0</v>
      </c>
    </row>
    <row r="288" spans="1:9" x14ac:dyDescent="0.2">
      <c r="A288" t="s">
        <v>973</v>
      </c>
      <c r="B288" s="51" t="s">
        <v>1448</v>
      </c>
      <c r="C288" s="51">
        <v>0</v>
      </c>
      <c r="D288" t="s">
        <v>1149</v>
      </c>
      <c r="E288" s="51">
        <v>1</v>
      </c>
      <c r="F288" t="s">
        <v>275</v>
      </c>
      <c r="G288" s="51">
        <v>0</v>
      </c>
      <c r="H288" t="s">
        <v>275</v>
      </c>
      <c r="I288" s="51">
        <v>0</v>
      </c>
    </row>
    <row r="289" spans="1:9" x14ac:dyDescent="0.2">
      <c r="A289" t="s">
        <v>926</v>
      </c>
      <c r="B289" s="51" t="s">
        <v>1449</v>
      </c>
      <c r="C289" s="51">
        <v>1</v>
      </c>
      <c r="D289" t="s">
        <v>1149</v>
      </c>
      <c r="E289" s="51">
        <v>5</v>
      </c>
      <c r="F289" t="s">
        <v>279</v>
      </c>
      <c r="G289" s="51">
        <v>0</v>
      </c>
      <c r="H289" t="s">
        <v>279</v>
      </c>
      <c r="I289" s="51">
        <v>0</v>
      </c>
    </row>
    <row r="290" spans="1:9" x14ac:dyDescent="0.2">
      <c r="A290" t="s">
        <v>1059</v>
      </c>
      <c r="B290" s="51" t="s">
        <v>1450</v>
      </c>
      <c r="C290" s="51">
        <v>0</v>
      </c>
      <c r="D290" t="s">
        <v>1149</v>
      </c>
      <c r="E290" s="51">
        <v>1</v>
      </c>
      <c r="F290" t="s">
        <v>275</v>
      </c>
      <c r="G290" s="51">
        <v>0</v>
      </c>
      <c r="H290" t="s">
        <v>275</v>
      </c>
      <c r="I290" s="51">
        <v>0</v>
      </c>
    </row>
    <row r="291" spans="1:9" x14ac:dyDescent="0.2">
      <c r="A291" t="s">
        <v>1020</v>
      </c>
      <c r="B291" s="51" t="s">
        <v>1451</v>
      </c>
      <c r="C291" s="51">
        <v>1</v>
      </c>
      <c r="D291" t="s">
        <v>1149</v>
      </c>
      <c r="E291" s="51">
        <v>5</v>
      </c>
      <c r="F291" t="s">
        <v>731</v>
      </c>
      <c r="G291" s="51">
        <v>1</v>
      </c>
      <c r="H291" t="s">
        <v>279</v>
      </c>
      <c r="I291" s="51">
        <v>0</v>
      </c>
    </row>
    <row r="292" spans="1:9" x14ac:dyDescent="0.2">
      <c r="A292" t="s">
        <v>1017</v>
      </c>
      <c r="B292" s="51" t="s">
        <v>1452</v>
      </c>
      <c r="C292" s="51">
        <v>1</v>
      </c>
      <c r="D292" t="s">
        <v>1149</v>
      </c>
      <c r="E292" s="51">
        <v>5</v>
      </c>
      <c r="F292" t="s">
        <v>731</v>
      </c>
      <c r="G292" s="51">
        <v>1</v>
      </c>
      <c r="H292" t="s">
        <v>279</v>
      </c>
      <c r="I292" s="51">
        <v>0</v>
      </c>
    </row>
    <row r="293" spans="1:9" x14ac:dyDescent="0.2">
      <c r="A293" t="s">
        <v>979</v>
      </c>
      <c r="B293" s="51" t="s">
        <v>1453</v>
      </c>
      <c r="C293" s="51">
        <v>1</v>
      </c>
      <c r="D293" t="s">
        <v>1149</v>
      </c>
      <c r="E293" s="51">
        <v>3</v>
      </c>
      <c r="F293" t="s">
        <v>281</v>
      </c>
      <c r="G293" s="51">
        <v>0</v>
      </c>
      <c r="H293" t="s">
        <v>281</v>
      </c>
      <c r="I293" s="51">
        <v>0</v>
      </c>
    </row>
    <row r="294" spans="1:9" x14ac:dyDescent="0.2">
      <c r="A294" t="s">
        <v>974</v>
      </c>
      <c r="B294" s="51" t="s">
        <v>1454</v>
      </c>
      <c r="C294" s="51">
        <v>0</v>
      </c>
      <c r="D294" t="s">
        <v>1149</v>
      </c>
      <c r="E294" s="51">
        <v>1</v>
      </c>
      <c r="F294" t="s">
        <v>275</v>
      </c>
      <c r="G294" s="51">
        <v>0</v>
      </c>
      <c r="H294" t="s">
        <v>275</v>
      </c>
      <c r="I294" s="51">
        <v>0</v>
      </c>
    </row>
    <row r="295" spans="1:9" x14ac:dyDescent="0.2">
      <c r="A295" t="s">
        <v>1084</v>
      </c>
      <c r="B295" s="51" t="s">
        <v>1455</v>
      </c>
      <c r="C295" s="51">
        <v>0</v>
      </c>
      <c r="D295" t="s">
        <v>1149</v>
      </c>
      <c r="E295" s="51">
        <v>1</v>
      </c>
      <c r="F295" t="s">
        <v>275</v>
      </c>
      <c r="G295" s="51">
        <v>0</v>
      </c>
      <c r="H295" t="s">
        <v>275</v>
      </c>
      <c r="I295" s="51">
        <v>0</v>
      </c>
    </row>
    <row r="296" spans="1:9" x14ac:dyDescent="0.2">
      <c r="A296" t="s">
        <v>1079</v>
      </c>
      <c r="B296" s="51" t="s">
        <v>1456</v>
      </c>
      <c r="C296" s="51">
        <v>0</v>
      </c>
      <c r="D296" t="s">
        <v>1149</v>
      </c>
      <c r="E296" s="51">
        <v>1</v>
      </c>
      <c r="F296" t="s">
        <v>275</v>
      </c>
      <c r="G296" s="51">
        <v>0</v>
      </c>
      <c r="H296" t="s">
        <v>275</v>
      </c>
      <c r="I296" s="51">
        <v>0</v>
      </c>
    </row>
    <row r="297" spans="1:9" x14ac:dyDescent="0.2">
      <c r="A297" t="s">
        <v>1082</v>
      </c>
      <c r="B297" s="51" t="s">
        <v>1457</v>
      </c>
      <c r="C297" s="51">
        <v>0</v>
      </c>
      <c r="D297" t="s">
        <v>1149</v>
      </c>
      <c r="E297" s="51">
        <v>1</v>
      </c>
      <c r="F297" t="s">
        <v>275</v>
      </c>
      <c r="G297" s="51">
        <v>0</v>
      </c>
      <c r="H297" t="s">
        <v>275</v>
      </c>
      <c r="I297" s="51">
        <v>0</v>
      </c>
    </row>
    <row r="298" spans="1:9" x14ac:dyDescent="0.2">
      <c r="A298" t="s">
        <v>1009</v>
      </c>
      <c r="B298" s="51" t="s">
        <v>1458</v>
      </c>
      <c r="C298" s="51">
        <v>0</v>
      </c>
      <c r="D298" t="s">
        <v>1149</v>
      </c>
      <c r="E298" s="51">
        <v>3</v>
      </c>
      <c r="F298" t="s">
        <v>281</v>
      </c>
      <c r="G298" s="51">
        <v>0</v>
      </c>
      <c r="H298" t="s">
        <v>281</v>
      </c>
      <c r="I298" s="51">
        <v>0</v>
      </c>
    </row>
    <row r="299" spans="1:9" x14ac:dyDescent="0.2">
      <c r="A299" t="s">
        <v>1045</v>
      </c>
      <c r="B299" s="51" t="s">
        <v>1459</v>
      </c>
      <c r="C299" s="51">
        <v>0</v>
      </c>
      <c r="D299" t="s">
        <v>1149</v>
      </c>
      <c r="E299" s="51">
        <v>1</v>
      </c>
      <c r="F299" t="s">
        <v>275</v>
      </c>
      <c r="G299" s="51">
        <v>0</v>
      </c>
      <c r="H299" t="s">
        <v>275</v>
      </c>
      <c r="I299" s="51">
        <v>0</v>
      </c>
    </row>
    <row r="300" spans="1:9" x14ac:dyDescent="0.2">
      <c r="A300" t="s">
        <v>987</v>
      </c>
      <c r="B300" s="51" t="s">
        <v>1460</v>
      </c>
      <c r="C300" s="51">
        <v>0</v>
      </c>
      <c r="D300" t="s">
        <v>1149</v>
      </c>
      <c r="E300" s="51">
        <v>1</v>
      </c>
      <c r="F300" t="s">
        <v>275</v>
      </c>
      <c r="G300" s="51">
        <v>0</v>
      </c>
      <c r="H300" t="s">
        <v>275</v>
      </c>
      <c r="I300" s="51">
        <v>0</v>
      </c>
    </row>
    <row r="301" spans="1:9" x14ac:dyDescent="0.2">
      <c r="A301" t="s">
        <v>1094</v>
      </c>
      <c r="B301" s="51" t="s">
        <v>1461</v>
      </c>
      <c r="C301" s="51">
        <v>0</v>
      </c>
      <c r="D301" t="s">
        <v>1149</v>
      </c>
      <c r="E301" s="51">
        <v>1</v>
      </c>
      <c r="F301" t="s">
        <v>275</v>
      </c>
      <c r="G301" s="51">
        <v>0</v>
      </c>
      <c r="H301" t="s">
        <v>275</v>
      </c>
      <c r="I301" s="51">
        <v>0</v>
      </c>
    </row>
    <row r="302" spans="1:9" x14ac:dyDescent="0.2">
      <c r="A302" t="s">
        <v>1054</v>
      </c>
      <c r="B302" s="51" t="s">
        <v>1462</v>
      </c>
      <c r="C302" s="51">
        <v>0</v>
      </c>
      <c r="D302" t="s">
        <v>1149</v>
      </c>
      <c r="E302" s="51">
        <v>1</v>
      </c>
      <c r="F302" t="s">
        <v>275</v>
      </c>
      <c r="G302" s="51">
        <v>0</v>
      </c>
      <c r="H302" t="s">
        <v>275</v>
      </c>
      <c r="I302" s="51">
        <v>0</v>
      </c>
    </row>
    <row r="303" spans="1:9" x14ac:dyDescent="0.2">
      <c r="A303" t="s">
        <v>982</v>
      </c>
      <c r="B303" s="51" t="s">
        <v>1463</v>
      </c>
      <c r="C303" s="51">
        <v>0</v>
      </c>
      <c r="D303" t="s">
        <v>1149</v>
      </c>
      <c r="E303" s="51">
        <v>3</v>
      </c>
      <c r="F303" t="s">
        <v>281</v>
      </c>
      <c r="G303" s="51">
        <v>0</v>
      </c>
      <c r="H303" t="s">
        <v>281</v>
      </c>
      <c r="I303" s="51">
        <v>0</v>
      </c>
    </row>
    <row r="304" spans="1:9" x14ac:dyDescent="0.2">
      <c r="A304" t="s">
        <v>1062</v>
      </c>
      <c r="B304" s="51" t="s">
        <v>1464</v>
      </c>
      <c r="C304" s="51">
        <v>0</v>
      </c>
      <c r="D304" t="s">
        <v>1149</v>
      </c>
      <c r="E304" s="51">
        <v>1</v>
      </c>
      <c r="F304" t="s">
        <v>275</v>
      </c>
      <c r="G304" s="51">
        <v>0</v>
      </c>
      <c r="H304" t="s">
        <v>275</v>
      </c>
      <c r="I304" s="51">
        <v>0</v>
      </c>
    </row>
    <row r="305" spans="1:9" x14ac:dyDescent="0.2">
      <c r="A305" t="s">
        <v>1004</v>
      </c>
      <c r="B305" s="51" t="s">
        <v>1465</v>
      </c>
      <c r="C305" s="51">
        <v>0</v>
      </c>
      <c r="D305" t="s">
        <v>1149</v>
      </c>
      <c r="E305" s="51">
        <v>3</v>
      </c>
      <c r="F305" t="s">
        <v>281</v>
      </c>
      <c r="G305" s="51">
        <v>0</v>
      </c>
      <c r="H305" t="s">
        <v>281</v>
      </c>
      <c r="I305" s="51">
        <v>0</v>
      </c>
    </row>
    <row r="306" spans="1:9" x14ac:dyDescent="0.2">
      <c r="A306" t="s">
        <v>1010</v>
      </c>
      <c r="B306" s="51" t="s">
        <v>1466</v>
      </c>
      <c r="C306" s="51">
        <v>0</v>
      </c>
      <c r="D306" t="s">
        <v>1149</v>
      </c>
      <c r="E306" s="51">
        <v>5</v>
      </c>
      <c r="F306" t="s">
        <v>731</v>
      </c>
      <c r="G306" s="51">
        <v>1</v>
      </c>
      <c r="H306" t="s">
        <v>279</v>
      </c>
      <c r="I306" s="51">
        <v>0</v>
      </c>
    </row>
    <row r="307" spans="1:9" x14ac:dyDescent="0.2">
      <c r="A307" t="s">
        <v>1111</v>
      </c>
      <c r="B307" s="51" t="s">
        <v>1467</v>
      </c>
      <c r="C307" s="51">
        <v>0</v>
      </c>
      <c r="D307" t="s">
        <v>1149</v>
      </c>
      <c r="E307" s="51">
        <v>1</v>
      </c>
      <c r="F307" t="s">
        <v>275</v>
      </c>
      <c r="G307" s="51">
        <v>0</v>
      </c>
      <c r="H307" t="s">
        <v>275</v>
      </c>
      <c r="I307" s="51">
        <v>0</v>
      </c>
    </row>
    <row r="308" spans="1:9" x14ac:dyDescent="0.2">
      <c r="A308" t="s">
        <v>1000</v>
      </c>
      <c r="B308" s="51" t="s">
        <v>1468</v>
      </c>
      <c r="C308" s="51">
        <v>0</v>
      </c>
      <c r="D308" t="s">
        <v>1149</v>
      </c>
      <c r="E308" s="51">
        <v>3</v>
      </c>
      <c r="F308" t="s">
        <v>281</v>
      </c>
      <c r="G308" s="51">
        <v>0</v>
      </c>
      <c r="H308" t="s">
        <v>281</v>
      </c>
      <c r="I308" s="51">
        <v>0</v>
      </c>
    </row>
    <row r="309" spans="1:9" x14ac:dyDescent="0.2">
      <c r="A309" t="s">
        <v>1188</v>
      </c>
      <c r="B309" s="51" t="s">
        <v>1469</v>
      </c>
      <c r="C309" s="51">
        <v>0</v>
      </c>
      <c r="D309" t="s">
        <v>1149</v>
      </c>
      <c r="E309" s="51">
        <v>3</v>
      </c>
      <c r="F309" t="s">
        <v>281</v>
      </c>
      <c r="G309" s="51">
        <v>0</v>
      </c>
      <c r="H309" t="s">
        <v>281</v>
      </c>
      <c r="I309" s="51">
        <v>0</v>
      </c>
    </row>
    <row r="310" spans="1:9" x14ac:dyDescent="0.2">
      <c r="A310" t="s">
        <v>960</v>
      </c>
      <c r="B310" s="51" t="s">
        <v>1470</v>
      </c>
      <c r="C310" s="51">
        <v>0</v>
      </c>
      <c r="D310" t="s">
        <v>1149</v>
      </c>
      <c r="E310" s="51">
        <v>1</v>
      </c>
      <c r="F310" t="s">
        <v>275</v>
      </c>
      <c r="G310" s="51">
        <v>0</v>
      </c>
      <c r="H310" t="s">
        <v>275</v>
      </c>
      <c r="I310" s="51">
        <v>0</v>
      </c>
    </row>
    <row r="311" spans="1:9" x14ac:dyDescent="0.2">
      <c r="A311" t="s">
        <v>939</v>
      </c>
      <c r="B311" s="51" t="s">
        <v>1471</v>
      </c>
      <c r="C311" s="51">
        <v>0</v>
      </c>
      <c r="D311" t="s">
        <v>1149</v>
      </c>
      <c r="E311" s="51">
        <v>1</v>
      </c>
      <c r="F311" t="s">
        <v>275</v>
      </c>
      <c r="G311" s="51">
        <v>0</v>
      </c>
      <c r="H311" t="s">
        <v>275</v>
      </c>
      <c r="I311" s="51">
        <v>0</v>
      </c>
    </row>
    <row r="312" spans="1:9" x14ac:dyDescent="0.2">
      <c r="A312" t="s">
        <v>956</v>
      </c>
      <c r="B312" s="51" t="s">
        <v>1472</v>
      </c>
      <c r="C312" s="51">
        <v>0</v>
      </c>
      <c r="D312" t="s">
        <v>1149</v>
      </c>
      <c r="E312" s="51">
        <v>1</v>
      </c>
      <c r="F312" t="s">
        <v>275</v>
      </c>
      <c r="G312" s="51">
        <v>0</v>
      </c>
      <c r="H312" t="s">
        <v>275</v>
      </c>
      <c r="I312" s="51">
        <v>0</v>
      </c>
    </row>
    <row r="313" spans="1:9" x14ac:dyDescent="0.2">
      <c r="A313" t="s">
        <v>1092</v>
      </c>
      <c r="B313" s="51" t="s">
        <v>1473</v>
      </c>
      <c r="C313" s="51">
        <v>0</v>
      </c>
      <c r="D313" t="s">
        <v>1149</v>
      </c>
      <c r="E313" s="51">
        <v>1</v>
      </c>
      <c r="F313" t="s">
        <v>275</v>
      </c>
      <c r="G313" s="51">
        <v>0</v>
      </c>
      <c r="H313" t="s">
        <v>275</v>
      </c>
      <c r="I313" s="51">
        <v>0</v>
      </c>
    </row>
    <row r="314" spans="1:9" x14ac:dyDescent="0.2">
      <c r="A314" t="s">
        <v>924</v>
      </c>
      <c r="B314" s="51" t="s">
        <v>1474</v>
      </c>
      <c r="C314" s="51">
        <v>0</v>
      </c>
      <c r="D314" t="s">
        <v>1149</v>
      </c>
      <c r="E314" s="51">
        <v>3</v>
      </c>
      <c r="F314" t="s">
        <v>281</v>
      </c>
      <c r="G314" s="51">
        <v>0</v>
      </c>
      <c r="H314" t="s">
        <v>281</v>
      </c>
      <c r="I314" s="51">
        <v>0</v>
      </c>
    </row>
    <row r="315" spans="1:9" x14ac:dyDescent="0.2">
      <c r="A315" t="s">
        <v>1036</v>
      </c>
      <c r="B315" s="51" t="s">
        <v>1475</v>
      </c>
      <c r="C315" s="51">
        <v>0</v>
      </c>
      <c r="D315" t="s">
        <v>1149</v>
      </c>
      <c r="E315" s="51">
        <v>1</v>
      </c>
      <c r="F315" t="s">
        <v>275</v>
      </c>
      <c r="G315" s="51">
        <v>0</v>
      </c>
      <c r="H315" t="s">
        <v>275</v>
      </c>
      <c r="I315" s="51">
        <v>0</v>
      </c>
    </row>
    <row r="316" spans="1:9" x14ac:dyDescent="0.2">
      <c r="A316" t="s">
        <v>895</v>
      </c>
      <c r="B316" s="51" t="s">
        <v>1476</v>
      </c>
      <c r="C316" s="51">
        <v>0</v>
      </c>
      <c r="D316" t="s">
        <v>1149</v>
      </c>
      <c r="E316" s="51">
        <v>1</v>
      </c>
      <c r="F316" t="s">
        <v>275</v>
      </c>
      <c r="G316" s="51">
        <v>0</v>
      </c>
      <c r="H316" t="s">
        <v>275</v>
      </c>
      <c r="I316" s="51">
        <v>0</v>
      </c>
    </row>
    <row r="317" spans="1:9" x14ac:dyDescent="0.2">
      <c r="A317" t="s">
        <v>922</v>
      </c>
      <c r="B317" s="51" t="s">
        <v>1477</v>
      </c>
      <c r="C317" s="51">
        <v>0</v>
      </c>
      <c r="D317" t="s">
        <v>1149</v>
      </c>
      <c r="E317" s="51">
        <v>1</v>
      </c>
      <c r="F317" t="s">
        <v>275</v>
      </c>
      <c r="G317" s="51">
        <v>0</v>
      </c>
      <c r="H317" t="s">
        <v>275</v>
      </c>
      <c r="I317" s="51">
        <v>0</v>
      </c>
    </row>
    <row r="318" spans="1:9" x14ac:dyDescent="0.2">
      <c r="A318" t="s">
        <v>1048</v>
      </c>
      <c r="B318" s="51" t="s">
        <v>1478</v>
      </c>
      <c r="C318" s="51">
        <v>0</v>
      </c>
      <c r="D318" t="s">
        <v>1149</v>
      </c>
      <c r="E318" s="51">
        <v>3</v>
      </c>
      <c r="F318" t="s">
        <v>281</v>
      </c>
      <c r="G318" s="51">
        <v>0</v>
      </c>
      <c r="H318" t="s">
        <v>281</v>
      </c>
      <c r="I318" s="51">
        <v>0</v>
      </c>
    </row>
    <row r="319" spans="1:9" x14ac:dyDescent="0.2">
      <c r="A319" t="s">
        <v>1075</v>
      </c>
      <c r="B319" s="51" t="s">
        <v>1479</v>
      </c>
      <c r="C319" s="51">
        <v>0</v>
      </c>
      <c r="D319" t="s">
        <v>1149</v>
      </c>
      <c r="E319" s="51">
        <v>1</v>
      </c>
      <c r="F319" t="s">
        <v>275</v>
      </c>
      <c r="G319" s="51">
        <v>0</v>
      </c>
      <c r="H319" t="s">
        <v>275</v>
      </c>
      <c r="I319" s="51">
        <v>0</v>
      </c>
    </row>
    <row r="320" spans="1:9" x14ac:dyDescent="0.2">
      <c r="A320" t="s">
        <v>1189</v>
      </c>
      <c r="B320" s="51" t="s">
        <v>1480</v>
      </c>
      <c r="C320" s="51">
        <v>0</v>
      </c>
      <c r="D320" t="s">
        <v>1149</v>
      </c>
      <c r="E320" s="51">
        <v>5</v>
      </c>
      <c r="F320" t="s">
        <v>731</v>
      </c>
      <c r="G320" s="51">
        <v>1</v>
      </c>
      <c r="H320" t="s">
        <v>279</v>
      </c>
      <c r="I320" s="51">
        <v>0</v>
      </c>
    </row>
    <row r="321" spans="1:9" x14ac:dyDescent="0.2">
      <c r="A321" t="s">
        <v>1109</v>
      </c>
      <c r="B321" s="51" t="s">
        <v>1481</v>
      </c>
      <c r="C321" s="51">
        <v>0</v>
      </c>
      <c r="D321" t="s">
        <v>1149</v>
      </c>
      <c r="E321" s="51">
        <v>3</v>
      </c>
      <c r="F321" t="s">
        <v>281</v>
      </c>
      <c r="G321" s="51">
        <v>0</v>
      </c>
      <c r="H321" t="s">
        <v>281</v>
      </c>
      <c r="I321" s="51">
        <v>0</v>
      </c>
    </row>
    <row r="322" spans="1:9" x14ac:dyDescent="0.2">
      <c r="A322" t="s">
        <v>742</v>
      </c>
      <c r="B322" s="51" t="s">
        <v>743</v>
      </c>
      <c r="C322" s="51">
        <v>0</v>
      </c>
      <c r="D322" t="s">
        <v>1149</v>
      </c>
      <c r="E322" s="51">
        <v>5</v>
      </c>
      <c r="F322" t="s">
        <v>731</v>
      </c>
      <c r="G322" s="51">
        <v>1</v>
      </c>
      <c r="H322" t="s">
        <v>279</v>
      </c>
      <c r="I322" s="51">
        <v>0</v>
      </c>
    </row>
    <row r="323" spans="1:9" x14ac:dyDescent="0.2">
      <c r="A323" t="s">
        <v>740</v>
      </c>
      <c r="B323" s="51" t="s">
        <v>741</v>
      </c>
      <c r="C323" s="51">
        <v>0</v>
      </c>
      <c r="D323" t="s">
        <v>1149</v>
      </c>
      <c r="E323" s="51">
        <v>5</v>
      </c>
      <c r="F323" t="s">
        <v>731</v>
      </c>
      <c r="G323" s="51">
        <v>1</v>
      </c>
      <c r="H323" t="s">
        <v>279</v>
      </c>
      <c r="I323" s="51">
        <v>0</v>
      </c>
    </row>
    <row r="324" spans="1:9" x14ac:dyDescent="0.2">
      <c r="A324" t="s">
        <v>1110</v>
      </c>
      <c r="B324" s="51" t="s">
        <v>1482</v>
      </c>
      <c r="C324" s="51">
        <v>0</v>
      </c>
      <c r="D324" t="s">
        <v>1149</v>
      </c>
      <c r="E324" s="51">
        <v>1</v>
      </c>
      <c r="F324" t="s">
        <v>275</v>
      </c>
      <c r="G324" s="51">
        <v>0</v>
      </c>
      <c r="H324" t="s">
        <v>275</v>
      </c>
      <c r="I324" s="51">
        <v>0</v>
      </c>
    </row>
    <row r="325" spans="1:9" x14ac:dyDescent="0.2">
      <c r="A325" t="s">
        <v>1002</v>
      </c>
      <c r="B325" s="51" t="s">
        <v>1483</v>
      </c>
      <c r="C325" s="51">
        <v>0</v>
      </c>
      <c r="D325" t="s">
        <v>1149</v>
      </c>
      <c r="E325" s="51">
        <v>3</v>
      </c>
      <c r="F325" t="s">
        <v>281</v>
      </c>
      <c r="G325" s="51">
        <v>0</v>
      </c>
      <c r="H325" t="s">
        <v>281</v>
      </c>
      <c r="I325" s="51">
        <v>0</v>
      </c>
    </row>
    <row r="326" spans="1:9" x14ac:dyDescent="0.2">
      <c r="A326" t="s">
        <v>919</v>
      </c>
      <c r="B326" s="51" t="s">
        <v>1484</v>
      </c>
      <c r="C326" s="51">
        <v>0</v>
      </c>
      <c r="D326" t="s">
        <v>1149</v>
      </c>
      <c r="E326" s="51">
        <v>1</v>
      </c>
      <c r="F326" t="s">
        <v>275</v>
      </c>
      <c r="G326" s="51">
        <v>0</v>
      </c>
      <c r="H326" t="s">
        <v>275</v>
      </c>
      <c r="I326" s="51">
        <v>0</v>
      </c>
    </row>
    <row r="327" spans="1:9" x14ac:dyDescent="0.2">
      <c r="A327" t="s">
        <v>793</v>
      </c>
      <c r="B327" s="51" t="s">
        <v>1485</v>
      </c>
      <c r="C327" s="51">
        <v>0</v>
      </c>
      <c r="D327" t="s">
        <v>1149</v>
      </c>
      <c r="E327" s="51">
        <v>1</v>
      </c>
      <c r="F327" t="s">
        <v>275</v>
      </c>
      <c r="G327" s="51">
        <v>0</v>
      </c>
      <c r="H327" t="s">
        <v>275</v>
      </c>
      <c r="I327" s="51">
        <v>0</v>
      </c>
    </row>
    <row r="328" spans="1:9" x14ac:dyDescent="0.2">
      <c r="A328" t="s">
        <v>1001</v>
      </c>
      <c r="B328" s="51" t="s">
        <v>1486</v>
      </c>
      <c r="C328" s="51">
        <v>0</v>
      </c>
      <c r="D328" t="s">
        <v>1149</v>
      </c>
      <c r="E328" s="51">
        <v>1</v>
      </c>
      <c r="F328" t="s">
        <v>275</v>
      </c>
      <c r="G328" s="51">
        <v>0</v>
      </c>
      <c r="H328" t="s">
        <v>275</v>
      </c>
      <c r="I328" s="51">
        <v>0</v>
      </c>
    </row>
    <row r="329" spans="1:9" x14ac:dyDescent="0.2">
      <c r="A329" t="s">
        <v>998</v>
      </c>
      <c r="B329" s="51" t="s">
        <v>1487</v>
      </c>
      <c r="C329" s="51">
        <v>0</v>
      </c>
      <c r="D329" t="s">
        <v>1149</v>
      </c>
      <c r="E329" s="51">
        <v>3</v>
      </c>
      <c r="F329" t="s">
        <v>281</v>
      </c>
      <c r="G329" s="51">
        <v>0</v>
      </c>
      <c r="H329" t="s">
        <v>281</v>
      </c>
      <c r="I329" s="51">
        <v>0</v>
      </c>
    </row>
    <row r="330" spans="1:9" x14ac:dyDescent="0.2">
      <c r="A330" t="s">
        <v>995</v>
      </c>
      <c r="B330" s="51" t="s">
        <v>1488</v>
      </c>
      <c r="C330" s="51">
        <v>0</v>
      </c>
      <c r="D330" t="s">
        <v>1149</v>
      </c>
      <c r="E330" s="51">
        <v>3</v>
      </c>
      <c r="F330" t="s">
        <v>281</v>
      </c>
      <c r="G330" s="51">
        <v>0</v>
      </c>
      <c r="H330" t="s">
        <v>281</v>
      </c>
      <c r="I330" s="51">
        <v>0</v>
      </c>
    </row>
    <row r="331" spans="1:9" x14ac:dyDescent="0.2">
      <c r="A331" t="s">
        <v>703</v>
      </c>
      <c r="B331" s="51" t="s">
        <v>704</v>
      </c>
      <c r="C331" s="51">
        <v>0</v>
      </c>
      <c r="D331" t="s">
        <v>1149</v>
      </c>
      <c r="E331" s="51">
        <v>1</v>
      </c>
      <c r="F331" t="s">
        <v>275</v>
      </c>
      <c r="G331" s="51">
        <v>0</v>
      </c>
      <c r="H331" t="s">
        <v>275</v>
      </c>
      <c r="I331" s="51">
        <v>0</v>
      </c>
    </row>
    <row r="332" spans="1:9" x14ac:dyDescent="0.2">
      <c r="A332" t="s">
        <v>1032</v>
      </c>
      <c r="B332" s="51" t="s">
        <v>1489</v>
      </c>
      <c r="C332" s="51">
        <v>0</v>
      </c>
      <c r="D332" t="s">
        <v>1149</v>
      </c>
      <c r="E332" s="51">
        <v>1</v>
      </c>
      <c r="F332" t="s">
        <v>275</v>
      </c>
      <c r="G332" s="51">
        <v>0</v>
      </c>
      <c r="H332" t="s">
        <v>275</v>
      </c>
      <c r="I332" s="51">
        <v>0</v>
      </c>
    </row>
    <row r="333" spans="1:9" x14ac:dyDescent="0.2">
      <c r="A333" t="s">
        <v>1013</v>
      </c>
      <c r="B333" s="51" t="s">
        <v>1490</v>
      </c>
      <c r="C333" s="51">
        <v>1</v>
      </c>
      <c r="D333" t="s">
        <v>1149</v>
      </c>
      <c r="E333" s="51">
        <v>1</v>
      </c>
      <c r="F333" t="s">
        <v>275</v>
      </c>
      <c r="G333" s="51">
        <v>0</v>
      </c>
      <c r="H333" t="s">
        <v>275</v>
      </c>
      <c r="I333" s="51">
        <v>0</v>
      </c>
    </row>
    <row r="334" spans="1:9" x14ac:dyDescent="0.2">
      <c r="A334" t="s">
        <v>908</v>
      </c>
      <c r="B334" s="51" t="s">
        <v>1491</v>
      </c>
      <c r="C334" s="51">
        <v>0</v>
      </c>
      <c r="D334" t="s">
        <v>1149</v>
      </c>
      <c r="E334" s="51">
        <v>5</v>
      </c>
      <c r="F334" t="s">
        <v>731</v>
      </c>
      <c r="G334" s="51">
        <v>1</v>
      </c>
      <c r="H334" t="s">
        <v>279</v>
      </c>
      <c r="I334" s="51">
        <v>0</v>
      </c>
    </row>
    <row r="335" spans="1:9" x14ac:dyDescent="0.2">
      <c r="A335" t="s">
        <v>909</v>
      </c>
      <c r="B335" s="51" t="s">
        <v>1492</v>
      </c>
      <c r="C335" s="51">
        <v>0</v>
      </c>
      <c r="D335" t="s">
        <v>1149</v>
      </c>
      <c r="E335" s="51">
        <v>5</v>
      </c>
      <c r="F335" t="s">
        <v>731</v>
      </c>
      <c r="G335" s="51">
        <v>1</v>
      </c>
      <c r="H335" t="s">
        <v>279</v>
      </c>
      <c r="I335" s="51">
        <v>0</v>
      </c>
    </row>
    <row r="336" spans="1:9" x14ac:dyDescent="0.2">
      <c r="A336" t="s">
        <v>736</v>
      </c>
      <c r="B336" s="51" t="s">
        <v>737</v>
      </c>
      <c r="C336" s="51">
        <v>0</v>
      </c>
      <c r="D336" t="s">
        <v>1149</v>
      </c>
      <c r="E336" s="51">
        <v>3</v>
      </c>
      <c r="F336" t="s">
        <v>281</v>
      </c>
      <c r="G336" s="51">
        <v>0</v>
      </c>
      <c r="H336" t="s">
        <v>281</v>
      </c>
      <c r="I336" s="51">
        <v>0</v>
      </c>
    </row>
    <row r="337" spans="1:9" x14ac:dyDescent="0.2">
      <c r="A337" t="s">
        <v>912</v>
      </c>
      <c r="B337" s="51" t="s">
        <v>1493</v>
      </c>
      <c r="C337" s="51">
        <v>0</v>
      </c>
      <c r="D337" t="s">
        <v>1149</v>
      </c>
      <c r="E337" s="51">
        <v>5</v>
      </c>
      <c r="F337" t="s">
        <v>731</v>
      </c>
      <c r="G337" s="51">
        <v>1</v>
      </c>
      <c r="H337" t="s">
        <v>279</v>
      </c>
      <c r="I337" s="51">
        <v>0</v>
      </c>
    </row>
    <row r="338" spans="1:9" x14ac:dyDescent="0.2">
      <c r="A338" t="s">
        <v>1190</v>
      </c>
      <c r="B338" s="51" t="s">
        <v>1494</v>
      </c>
      <c r="C338" s="51">
        <v>0</v>
      </c>
      <c r="D338" t="s">
        <v>1149</v>
      </c>
      <c r="E338" s="51">
        <v>1</v>
      </c>
      <c r="F338" t="s">
        <v>275</v>
      </c>
      <c r="G338" s="51">
        <v>0</v>
      </c>
      <c r="H338" t="s">
        <v>275</v>
      </c>
      <c r="I338" s="51">
        <v>0</v>
      </c>
    </row>
    <row r="339" spans="1:9" x14ac:dyDescent="0.2">
      <c r="A339" t="s">
        <v>1064</v>
      </c>
      <c r="B339" s="51" t="s">
        <v>1495</v>
      </c>
      <c r="C339" s="51">
        <v>0</v>
      </c>
      <c r="D339" t="s">
        <v>1149</v>
      </c>
      <c r="E339" s="51">
        <v>1</v>
      </c>
      <c r="F339" t="s">
        <v>275</v>
      </c>
      <c r="G339" s="51">
        <v>0</v>
      </c>
      <c r="H339" t="s">
        <v>275</v>
      </c>
      <c r="I339" s="51">
        <v>0</v>
      </c>
    </row>
    <row r="340" spans="1:9" x14ac:dyDescent="0.2">
      <c r="A340" t="s">
        <v>1065</v>
      </c>
      <c r="B340" s="51" t="s">
        <v>1496</v>
      </c>
      <c r="C340" s="51">
        <v>0</v>
      </c>
      <c r="D340" t="s">
        <v>1149</v>
      </c>
      <c r="E340" s="51">
        <v>1</v>
      </c>
      <c r="F340" t="s">
        <v>275</v>
      </c>
      <c r="G340" s="51">
        <v>0</v>
      </c>
      <c r="H340" t="s">
        <v>275</v>
      </c>
      <c r="I340" s="51">
        <v>0</v>
      </c>
    </row>
    <row r="341" spans="1:9" x14ac:dyDescent="0.2">
      <c r="A341" t="s">
        <v>1191</v>
      </c>
      <c r="B341" s="51" t="s">
        <v>1497</v>
      </c>
      <c r="C341" s="51">
        <v>0</v>
      </c>
      <c r="D341" t="s">
        <v>1149</v>
      </c>
      <c r="E341" s="51">
        <v>3</v>
      </c>
      <c r="F341" t="s">
        <v>281</v>
      </c>
      <c r="G341" s="51">
        <v>0</v>
      </c>
      <c r="H341" t="s">
        <v>281</v>
      </c>
      <c r="I341" s="51">
        <v>0</v>
      </c>
    </row>
    <row r="342" spans="1:9" x14ac:dyDescent="0.2">
      <c r="A342" t="s">
        <v>1104</v>
      </c>
      <c r="B342" s="51" t="s">
        <v>1498</v>
      </c>
      <c r="C342" s="51">
        <v>0</v>
      </c>
      <c r="D342" t="s">
        <v>1149</v>
      </c>
      <c r="E342" s="51">
        <v>1</v>
      </c>
      <c r="F342" t="s">
        <v>275</v>
      </c>
      <c r="G342" s="51">
        <v>0</v>
      </c>
      <c r="H342" t="s">
        <v>275</v>
      </c>
      <c r="I342" s="51">
        <v>0</v>
      </c>
    </row>
    <row r="343" spans="1:9" x14ac:dyDescent="0.2">
      <c r="A343" t="s">
        <v>1103</v>
      </c>
      <c r="B343" s="51" t="s">
        <v>1499</v>
      </c>
      <c r="C343" s="51">
        <v>0</v>
      </c>
      <c r="D343" t="s">
        <v>1149</v>
      </c>
      <c r="E343" s="51">
        <v>1</v>
      </c>
      <c r="F343" t="s">
        <v>275</v>
      </c>
      <c r="G343" s="51">
        <v>0</v>
      </c>
      <c r="H343" t="s">
        <v>275</v>
      </c>
      <c r="I343" s="51">
        <v>0</v>
      </c>
    </row>
    <row r="344" spans="1:9" x14ac:dyDescent="0.2">
      <c r="A344" t="s">
        <v>1105</v>
      </c>
      <c r="B344" s="51" t="s">
        <v>1500</v>
      </c>
      <c r="C344" s="51">
        <v>0</v>
      </c>
      <c r="D344" t="s">
        <v>1149</v>
      </c>
      <c r="E344" s="51">
        <v>1</v>
      </c>
      <c r="F344" t="s">
        <v>275</v>
      </c>
      <c r="G344" s="51">
        <v>0</v>
      </c>
      <c r="H344" t="s">
        <v>275</v>
      </c>
      <c r="I344" s="51">
        <v>0</v>
      </c>
    </row>
    <row r="345" spans="1:9" x14ac:dyDescent="0.2">
      <c r="A345" t="s">
        <v>900</v>
      </c>
      <c r="B345" s="51" t="s">
        <v>1501</v>
      </c>
      <c r="C345" s="51">
        <v>0</v>
      </c>
      <c r="D345" t="s">
        <v>1149</v>
      </c>
      <c r="E345" s="51">
        <v>1</v>
      </c>
      <c r="F345" t="s">
        <v>275</v>
      </c>
      <c r="G345" s="51">
        <v>0</v>
      </c>
      <c r="H345" t="s">
        <v>275</v>
      </c>
      <c r="I345" s="51">
        <v>0</v>
      </c>
    </row>
    <row r="346" spans="1:9" x14ac:dyDescent="0.2">
      <c r="A346" t="s">
        <v>899</v>
      </c>
      <c r="B346" s="51" t="s">
        <v>1502</v>
      </c>
      <c r="C346" s="51">
        <v>0</v>
      </c>
      <c r="D346" t="s">
        <v>1149</v>
      </c>
      <c r="E346" s="51">
        <v>1</v>
      </c>
      <c r="F346" t="s">
        <v>275</v>
      </c>
      <c r="G346" s="51">
        <v>0</v>
      </c>
      <c r="H346" t="s">
        <v>275</v>
      </c>
      <c r="I346" s="51">
        <v>0</v>
      </c>
    </row>
    <row r="347" spans="1:9" x14ac:dyDescent="0.2">
      <c r="A347" t="s">
        <v>898</v>
      </c>
      <c r="B347" s="51" t="s">
        <v>1503</v>
      </c>
      <c r="C347" s="51">
        <v>0</v>
      </c>
      <c r="D347" t="s">
        <v>1149</v>
      </c>
      <c r="E347" s="51">
        <v>1</v>
      </c>
      <c r="F347" t="s">
        <v>275</v>
      </c>
      <c r="G347" s="51">
        <v>0</v>
      </c>
      <c r="H347" t="s">
        <v>275</v>
      </c>
      <c r="I347" s="51">
        <v>0</v>
      </c>
    </row>
    <row r="348" spans="1:9" x14ac:dyDescent="0.2">
      <c r="A348" t="s">
        <v>1102</v>
      </c>
      <c r="B348" s="51" t="s">
        <v>1504</v>
      </c>
      <c r="C348" s="51">
        <v>0</v>
      </c>
      <c r="D348" t="s">
        <v>1149</v>
      </c>
      <c r="E348" s="51">
        <v>1</v>
      </c>
      <c r="F348" t="s">
        <v>275</v>
      </c>
      <c r="G348" s="51">
        <v>0</v>
      </c>
      <c r="H348" t="s">
        <v>275</v>
      </c>
      <c r="I348" s="51">
        <v>0</v>
      </c>
    </row>
    <row r="349" spans="1:9" x14ac:dyDescent="0.2">
      <c r="A349" t="s">
        <v>897</v>
      </c>
      <c r="B349" s="51" t="s">
        <v>1505</v>
      </c>
      <c r="C349" s="51">
        <v>1</v>
      </c>
      <c r="D349" t="s">
        <v>1149</v>
      </c>
      <c r="E349" s="51">
        <v>1</v>
      </c>
      <c r="F349" t="s">
        <v>275</v>
      </c>
      <c r="G349" s="51">
        <v>0</v>
      </c>
      <c r="H349" t="s">
        <v>275</v>
      </c>
      <c r="I349" s="51">
        <v>0</v>
      </c>
    </row>
    <row r="350" spans="1:9" x14ac:dyDescent="0.2">
      <c r="A350" t="s">
        <v>1106</v>
      </c>
      <c r="B350" s="51" t="s">
        <v>1506</v>
      </c>
      <c r="C350" s="51">
        <v>0</v>
      </c>
      <c r="D350" t="s">
        <v>1149</v>
      </c>
      <c r="E350" s="51">
        <v>1</v>
      </c>
      <c r="F350" t="s">
        <v>275</v>
      </c>
      <c r="G350" s="51">
        <v>0</v>
      </c>
      <c r="H350" t="s">
        <v>275</v>
      </c>
      <c r="I350" s="51">
        <v>0</v>
      </c>
    </row>
    <row r="351" spans="1:9" x14ac:dyDescent="0.2">
      <c r="A351" t="s">
        <v>1101</v>
      </c>
      <c r="B351" s="51" t="s">
        <v>1507</v>
      </c>
      <c r="C351" s="51">
        <v>0</v>
      </c>
      <c r="D351" t="s">
        <v>1149</v>
      </c>
      <c r="E351" s="51">
        <v>1</v>
      </c>
      <c r="F351" t="s">
        <v>275</v>
      </c>
      <c r="G351" s="51">
        <v>0</v>
      </c>
      <c r="H351" t="s">
        <v>275</v>
      </c>
      <c r="I351" s="51">
        <v>0</v>
      </c>
    </row>
    <row r="352" spans="1:9" x14ac:dyDescent="0.2">
      <c r="A352" t="s">
        <v>1107</v>
      </c>
      <c r="B352" s="51" t="s">
        <v>1508</v>
      </c>
      <c r="C352" s="51">
        <v>0</v>
      </c>
      <c r="D352" t="s">
        <v>1149</v>
      </c>
      <c r="E352" s="51">
        <v>1</v>
      </c>
      <c r="F352" t="s">
        <v>275</v>
      </c>
      <c r="G352" s="51">
        <v>0</v>
      </c>
      <c r="H352" t="s">
        <v>275</v>
      </c>
      <c r="I352" s="51">
        <v>0</v>
      </c>
    </row>
    <row r="353" spans="1:9" x14ac:dyDescent="0.2">
      <c r="A353" t="s">
        <v>901</v>
      </c>
      <c r="B353" s="51" t="s">
        <v>1509</v>
      </c>
      <c r="C353" s="51">
        <v>0</v>
      </c>
      <c r="D353" t="s">
        <v>1149</v>
      </c>
      <c r="E353" s="51">
        <v>1</v>
      </c>
      <c r="F353" t="s">
        <v>275</v>
      </c>
      <c r="G353" s="51">
        <v>0</v>
      </c>
      <c r="H353" t="s">
        <v>275</v>
      </c>
      <c r="I353" s="51">
        <v>0</v>
      </c>
    </row>
    <row r="354" spans="1:9" x14ac:dyDescent="0.2">
      <c r="A354" t="s">
        <v>896</v>
      </c>
      <c r="B354" s="51" t="s">
        <v>1510</v>
      </c>
      <c r="C354" s="51">
        <v>0</v>
      </c>
      <c r="D354" t="s">
        <v>1149</v>
      </c>
      <c r="E354" s="51">
        <v>1</v>
      </c>
      <c r="F354" t="s">
        <v>275</v>
      </c>
      <c r="G354" s="51">
        <v>0</v>
      </c>
      <c r="H354" t="s">
        <v>275</v>
      </c>
      <c r="I354" s="51">
        <v>0</v>
      </c>
    </row>
    <row r="355" spans="1:9" x14ac:dyDescent="0.2">
      <c r="A355" t="s">
        <v>815</v>
      </c>
      <c r="B355" s="51" t="s">
        <v>1511</v>
      </c>
      <c r="C355" s="51">
        <v>0</v>
      </c>
      <c r="D355" t="s">
        <v>1149</v>
      </c>
      <c r="E355" s="51">
        <v>1</v>
      </c>
      <c r="F355" t="s">
        <v>275</v>
      </c>
      <c r="G355" s="51">
        <v>0</v>
      </c>
      <c r="H355" t="s">
        <v>275</v>
      </c>
      <c r="I355" s="51">
        <v>0</v>
      </c>
    </row>
    <row r="356" spans="1:9" x14ac:dyDescent="0.2">
      <c r="A356" t="s">
        <v>1011</v>
      </c>
      <c r="B356" s="51" t="s">
        <v>1512</v>
      </c>
      <c r="C356" s="51">
        <v>1</v>
      </c>
      <c r="D356" t="s">
        <v>1149</v>
      </c>
      <c r="E356" s="51">
        <v>1</v>
      </c>
      <c r="F356" t="s">
        <v>275</v>
      </c>
      <c r="G356" s="51">
        <v>0</v>
      </c>
      <c r="H356" t="s">
        <v>275</v>
      </c>
      <c r="I356" s="51">
        <v>0</v>
      </c>
    </row>
    <row r="357" spans="1:9" x14ac:dyDescent="0.2">
      <c r="A357" t="s">
        <v>1012</v>
      </c>
      <c r="B357" s="51" t="s">
        <v>1513</v>
      </c>
      <c r="C357" s="51">
        <v>1</v>
      </c>
      <c r="D357" t="s">
        <v>1149</v>
      </c>
      <c r="E357" s="51">
        <v>1</v>
      </c>
      <c r="F357" t="s">
        <v>275</v>
      </c>
      <c r="G357" s="51">
        <v>0</v>
      </c>
      <c r="H357" t="s">
        <v>275</v>
      </c>
      <c r="I357" s="51">
        <v>0</v>
      </c>
    </row>
    <row r="358" spans="1:9" x14ac:dyDescent="0.2">
      <c r="A358" t="s">
        <v>738</v>
      </c>
      <c r="B358" s="51" t="s">
        <v>739</v>
      </c>
      <c r="C358" s="51">
        <v>0</v>
      </c>
      <c r="D358" t="s">
        <v>1149</v>
      </c>
      <c r="E358" s="51">
        <v>1</v>
      </c>
      <c r="F358" t="s">
        <v>275</v>
      </c>
      <c r="G358" s="51">
        <v>0</v>
      </c>
      <c r="H358" t="s">
        <v>275</v>
      </c>
      <c r="I358" s="51">
        <v>0</v>
      </c>
    </row>
    <row r="359" spans="1:9" x14ac:dyDescent="0.2">
      <c r="A359" t="s">
        <v>732</v>
      </c>
      <c r="B359" s="51" t="s">
        <v>733</v>
      </c>
      <c r="C359" s="51">
        <v>0</v>
      </c>
      <c r="D359" t="s">
        <v>1149</v>
      </c>
      <c r="E359" s="51">
        <v>3</v>
      </c>
      <c r="F359" t="s">
        <v>281</v>
      </c>
      <c r="G359" s="51">
        <v>0</v>
      </c>
      <c r="H359" t="s">
        <v>281</v>
      </c>
      <c r="I359" s="51">
        <v>0</v>
      </c>
    </row>
    <row r="360" spans="1:9" x14ac:dyDescent="0.2">
      <c r="A360" t="s">
        <v>981</v>
      </c>
      <c r="B360" s="51" t="s">
        <v>1514</v>
      </c>
      <c r="C360" s="51">
        <v>0</v>
      </c>
      <c r="D360" t="s">
        <v>1149</v>
      </c>
      <c r="E360" s="51">
        <v>3</v>
      </c>
      <c r="F360" t="s">
        <v>281</v>
      </c>
      <c r="G360" s="51">
        <v>0</v>
      </c>
      <c r="H360" t="s">
        <v>281</v>
      </c>
      <c r="I360" s="51">
        <v>0</v>
      </c>
    </row>
    <row r="361" spans="1:9" x14ac:dyDescent="0.2">
      <c r="A361" t="s">
        <v>905</v>
      </c>
      <c r="B361" s="51" t="s">
        <v>1515</v>
      </c>
      <c r="C361" s="51">
        <v>0</v>
      </c>
      <c r="D361" t="s">
        <v>1149</v>
      </c>
      <c r="E361" s="51">
        <v>1</v>
      </c>
      <c r="F361" t="s">
        <v>275</v>
      </c>
      <c r="G361" s="51">
        <v>0</v>
      </c>
      <c r="H361" t="s">
        <v>275</v>
      </c>
      <c r="I361" s="51">
        <v>0</v>
      </c>
    </row>
    <row r="362" spans="1:9" x14ac:dyDescent="0.2">
      <c r="A362" t="s">
        <v>794</v>
      </c>
      <c r="B362" s="51" t="s">
        <v>1516</v>
      </c>
      <c r="C362" s="51">
        <v>0</v>
      </c>
      <c r="D362" t="s">
        <v>1149</v>
      </c>
      <c r="E362" s="51">
        <v>1</v>
      </c>
      <c r="F362" t="s">
        <v>275</v>
      </c>
      <c r="G362" s="51">
        <v>0</v>
      </c>
      <c r="H362" t="s">
        <v>275</v>
      </c>
      <c r="I362" s="51">
        <v>0</v>
      </c>
    </row>
    <row r="363" spans="1:9" x14ac:dyDescent="0.2">
      <c r="A363" t="s">
        <v>923</v>
      </c>
      <c r="B363" s="51" t="s">
        <v>1517</v>
      </c>
      <c r="C363" s="51">
        <v>0</v>
      </c>
      <c r="D363" t="s">
        <v>1149</v>
      </c>
      <c r="E363" s="51">
        <v>1</v>
      </c>
      <c r="F363" t="s">
        <v>275</v>
      </c>
      <c r="G363" s="51">
        <v>0</v>
      </c>
      <c r="H363" t="s">
        <v>275</v>
      </c>
      <c r="I363" s="51">
        <v>0</v>
      </c>
    </row>
    <row r="364" spans="1:9" x14ac:dyDescent="0.2">
      <c r="A364" t="s">
        <v>994</v>
      </c>
      <c r="B364" s="51" t="s">
        <v>1518</v>
      </c>
      <c r="C364" s="51">
        <v>0</v>
      </c>
      <c r="D364" t="s">
        <v>1149</v>
      </c>
      <c r="E364" s="51">
        <v>3</v>
      </c>
      <c r="F364" t="s">
        <v>281</v>
      </c>
      <c r="G364" s="51">
        <v>0</v>
      </c>
      <c r="H364" t="s">
        <v>281</v>
      </c>
      <c r="I364" s="51">
        <v>0</v>
      </c>
    </row>
    <row r="365" spans="1:9" x14ac:dyDescent="0.2">
      <c r="A365" t="s">
        <v>964</v>
      </c>
      <c r="B365" s="51" t="s">
        <v>1519</v>
      </c>
      <c r="C365" s="51">
        <v>0</v>
      </c>
      <c r="D365" t="s">
        <v>1149</v>
      </c>
      <c r="E365" s="51">
        <v>3</v>
      </c>
      <c r="F365" t="s">
        <v>281</v>
      </c>
      <c r="G365" s="51">
        <v>0</v>
      </c>
      <c r="H365" t="s">
        <v>281</v>
      </c>
      <c r="I365" s="51">
        <v>0</v>
      </c>
    </row>
    <row r="366" spans="1:9" x14ac:dyDescent="0.2">
      <c r="A366" t="s">
        <v>961</v>
      </c>
      <c r="B366" s="51" t="s">
        <v>1520</v>
      </c>
      <c r="C366" s="51">
        <v>0</v>
      </c>
      <c r="D366" t="s">
        <v>1149</v>
      </c>
      <c r="E366" s="51">
        <v>1</v>
      </c>
      <c r="F366" t="s">
        <v>275</v>
      </c>
      <c r="G366" s="51">
        <v>0</v>
      </c>
      <c r="H366" t="s">
        <v>275</v>
      </c>
      <c r="I366" s="51">
        <v>0</v>
      </c>
    </row>
    <row r="367" spans="1:9" x14ac:dyDescent="0.2">
      <c r="A367" t="s">
        <v>958</v>
      </c>
      <c r="B367" s="51" t="s">
        <v>1521</v>
      </c>
      <c r="C367" s="51">
        <v>0</v>
      </c>
      <c r="D367" t="s">
        <v>1149</v>
      </c>
      <c r="E367" s="51">
        <v>1</v>
      </c>
      <c r="F367" t="s">
        <v>275</v>
      </c>
      <c r="G367" s="51">
        <v>0</v>
      </c>
      <c r="H367" t="s">
        <v>275</v>
      </c>
      <c r="I367" s="51">
        <v>0</v>
      </c>
    </row>
    <row r="368" spans="1:9" x14ac:dyDescent="0.2">
      <c r="A368" t="s">
        <v>968</v>
      </c>
      <c r="B368" s="51" t="s">
        <v>1522</v>
      </c>
      <c r="C368" s="51">
        <v>0</v>
      </c>
      <c r="D368" t="s">
        <v>1149</v>
      </c>
      <c r="E368" s="51">
        <v>3</v>
      </c>
      <c r="F368" t="s">
        <v>281</v>
      </c>
      <c r="G368" s="51">
        <v>0</v>
      </c>
      <c r="H368" t="s">
        <v>281</v>
      </c>
      <c r="I368" s="51">
        <v>0</v>
      </c>
    </row>
    <row r="369" spans="1:9" x14ac:dyDescent="0.2">
      <c r="A369" t="s">
        <v>966</v>
      </c>
      <c r="B369" s="51" t="s">
        <v>1523</v>
      </c>
      <c r="C369" s="51">
        <v>0</v>
      </c>
      <c r="D369" t="s">
        <v>1149</v>
      </c>
      <c r="E369" s="51">
        <v>3</v>
      </c>
      <c r="F369" t="s">
        <v>281</v>
      </c>
      <c r="G369" s="51">
        <v>0</v>
      </c>
      <c r="H369" t="s">
        <v>281</v>
      </c>
      <c r="I369" s="51">
        <v>0</v>
      </c>
    </row>
    <row r="370" spans="1:9" x14ac:dyDescent="0.2">
      <c r="A370" t="s">
        <v>963</v>
      </c>
      <c r="B370" s="51" t="s">
        <v>1524</v>
      </c>
      <c r="C370" s="51">
        <v>0</v>
      </c>
      <c r="D370" t="s">
        <v>1149</v>
      </c>
      <c r="E370" s="51">
        <v>3</v>
      </c>
      <c r="F370" t="s">
        <v>281</v>
      </c>
      <c r="G370" s="51">
        <v>0</v>
      </c>
      <c r="H370" t="s">
        <v>281</v>
      </c>
      <c r="I370" s="51">
        <v>0</v>
      </c>
    </row>
    <row r="371" spans="1:9" x14ac:dyDescent="0.2">
      <c r="A371" t="s">
        <v>967</v>
      </c>
      <c r="B371" s="51" t="s">
        <v>1525</v>
      </c>
      <c r="C371" s="51">
        <v>0</v>
      </c>
      <c r="D371" t="s">
        <v>1149</v>
      </c>
      <c r="E371" s="51">
        <v>3</v>
      </c>
      <c r="F371" t="s">
        <v>281</v>
      </c>
      <c r="G371" s="51">
        <v>0</v>
      </c>
      <c r="H371" t="s">
        <v>281</v>
      </c>
      <c r="I371" s="51">
        <v>0</v>
      </c>
    </row>
    <row r="372" spans="1:9" x14ac:dyDescent="0.2">
      <c r="A372" t="s">
        <v>965</v>
      </c>
      <c r="B372" s="51" t="s">
        <v>1526</v>
      </c>
      <c r="C372" s="51">
        <v>0</v>
      </c>
      <c r="D372" t="s">
        <v>1149</v>
      </c>
      <c r="E372" s="51">
        <v>3</v>
      </c>
      <c r="F372" t="s">
        <v>281</v>
      </c>
      <c r="G372" s="51">
        <v>0</v>
      </c>
      <c r="H372" t="s">
        <v>281</v>
      </c>
      <c r="I372" s="51">
        <v>0</v>
      </c>
    </row>
    <row r="373" spans="1:9" x14ac:dyDescent="0.2">
      <c r="A373" t="s">
        <v>957</v>
      </c>
      <c r="B373" s="51" t="s">
        <v>1527</v>
      </c>
      <c r="C373" s="51">
        <v>0</v>
      </c>
      <c r="D373" t="s">
        <v>1149</v>
      </c>
      <c r="E373" s="51">
        <v>1</v>
      </c>
      <c r="F373" t="s">
        <v>275</v>
      </c>
      <c r="G373" s="51">
        <v>0</v>
      </c>
      <c r="H373" t="s">
        <v>275</v>
      </c>
      <c r="I373" s="51">
        <v>0</v>
      </c>
    </row>
    <row r="374" spans="1:9" x14ac:dyDescent="0.2">
      <c r="A374" t="s">
        <v>962</v>
      </c>
      <c r="B374" s="51" t="s">
        <v>1528</v>
      </c>
      <c r="C374" s="51">
        <v>0</v>
      </c>
      <c r="D374" t="s">
        <v>1149</v>
      </c>
      <c r="E374" s="51">
        <v>1</v>
      </c>
      <c r="F374" t="s">
        <v>275</v>
      </c>
      <c r="G374" s="51">
        <v>0</v>
      </c>
      <c r="H374" t="s">
        <v>275</v>
      </c>
      <c r="I374" s="51">
        <v>0</v>
      </c>
    </row>
    <row r="375" spans="1:9" x14ac:dyDescent="0.2">
      <c r="A375" t="s">
        <v>959</v>
      </c>
      <c r="B375" s="51" t="s">
        <v>1529</v>
      </c>
      <c r="C375" s="51">
        <v>0</v>
      </c>
      <c r="D375" t="s">
        <v>1149</v>
      </c>
      <c r="E375" s="51">
        <v>1</v>
      </c>
      <c r="F375" t="s">
        <v>275</v>
      </c>
      <c r="G375" s="51">
        <v>0</v>
      </c>
      <c r="H375" t="s">
        <v>275</v>
      </c>
      <c r="I375" s="51">
        <v>0</v>
      </c>
    </row>
    <row r="376" spans="1:9" x14ac:dyDescent="0.2">
      <c r="A376" t="s">
        <v>727</v>
      </c>
      <c r="B376" s="51" t="s">
        <v>728</v>
      </c>
      <c r="C376" s="51">
        <v>0</v>
      </c>
      <c r="D376" t="s">
        <v>1149</v>
      </c>
      <c r="E376" s="51">
        <v>1</v>
      </c>
      <c r="F376" t="s">
        <v>275</v>
      </c>
      <c r="G376" s="51">
        <v>0</v>
      </c>
      <c r="H376" t="s">
        <v>275</v>
      </c>
      <c r="I376" s="51">
        <v>0</v>
      </c>
    </row>
    <row r="377" spans="1:9" x14ac:dyDescent="0.2">
      <c r="A377" t="s">
        <v>910</v>
      </c>
      <c r="B377" s="51" t="s">
        <v>1530</v>
      </c>
      <c r="C377" s="51">
        <v>0</v>
      </c>
      <c r="D377" t="s">
        <v>1149</v>
      </c>
      <c r="E377" s="51">
        <v>5</v>
      </c>
      <c r="F377" t="s">
        <v>731</v>
      </c>
      <c r="G377" s="51">
        <v>1</v>
      </c>
      <c r="H377" t="s">
        <v>279</v>
      </c>
      <c r="I377" s="51">
        <v>0</v>
      </c>
    </row>
    <row r="378" spans="1:9" x14ac:dyDescent="0.2">
      <c r="A378" t="s">
        <v>911</v>
      </c>
      <c r="B378" s="51" t="s">
        <v>1531</v>
      </c>
      <c r="C378" s="51">
        <v>0</v>
      </c>
      <c r="D378" t="s">
        <v>1149</v>
      </c>
      <c r="E378" s="51">
        <v>5</v>
      </c>
      <c r="F378" t="s">
        <v>731</v>
      </c>
      <c r="G378" s="51">
        <v>1</v>
      </c>
      <c r="H378" t="s">
        <v>279</v>
      </c>
      <c r="I378" s="51">
        <v>0</v>
      </c>
    </row>
    <row r="379" spans="1:9" x14ac:dyDescent="0.2">
      <c r="A379" t="s">
        <v>844</v>
      </c>
      <c r="B379" s="51" t="s">
        <v>1532</v>
      </c>
      <c r="C379" s="51">
        <v>0</v>
      </c>
      <c r="D379" t="s">
        <v>1149</v>
      </c>
      <c r="E379" s="51">
        <v>1</v>
      </c>
      <c r="F379" t="s">
        <v>275</v>
      </c>
      <c r="G379" s="51">
        <v>0</v>
      </c>
      <c r="H379" t="s">
        <v>275</v>
      </c>
      <c r="I379" s="51">
        <v>0</v>
      </c>
    </row>
    <row r="380" spans="1:9" x14ac:dyDescent="0.2">
      <c r="A380" t="s">
        <v>929</v>
      </c>
      <c r="B380" s="51" t="s">
        <v>1533</v>
      </c>
      <c r="C380" s="51">
        <v>0</v>
      </c>
      <c r="D380" t="s">
        <v>1149</v>
      </c>
      <c r="E380" s="51">
        <v>3</v>
      </c>
      <c r="F380" t="s">
        <v>281</v>
      </c>
      <c r="G380" s="51">
        <v>0</v>
      </c>
      <c r="H380" t="s">
        <v>281</v>
      </c>
      <c r="I380" s="51">
        <v>0</v>
      </c>
    </row>
    <row r="381" spans="1:9" x14ac:dyDescent="0.2">
      <c r="A381" t="s">
        <v>1192</v>
      </c>
      <c r="B381" s="51" t="s">
        <v>1534</v>
      </c>
      <c r="C381" s="51">
        <v>0</v>
      </c>
      <c r="D381" t="s">
        <v>1149</v>
      </c>
      <c r="E381" s="51">
        <v>3</v>
      </c>
      <c r="F381" t="s">
        <v>281</v>
      </c>
      <c r="G381" s="51">
        <v>0</v>
      </c>
      <c r="H381" t="s">
        <v>281</v>
      </c>
      <c r="I381" s="51">
        <v>0</v>
      </c>
    </row>
    <row r="382" spans="1:9" x14ac:dyDescent="0.2">
      <c r="A382" t="s">
        <v>1193</v>
      </c>
      <c r="B382" s="51" t="s">
        <v>1535</v>
      </c>
      <c r="C382" s="51">
        <v>0</v>
      </c>
      <c r="D382" t="s">
        <v>1149</v>
      </c>
      <c r="E382" s="51">
        <v>3</v>
      </c>
      <c r="F382" t="s">
        <v>281</v>
      </c>
      <c r="G382" s="51">
        <v>0</v>
      </c>
      <c r="H382" t="s">
        <v>281</v>
      </c>
      <c r="I382" s="51">
        <v>0</v>
      </c>
    </row>
    <row r="383" spans="1:9" x14ac:dyDescent="0.2">
      <c r="A383" t="s">
        <v>937</v>
      </c>
      <c r="B383" s="51" t="s">
        <v>1536</v>
      </c>
      <c r="C383" s="51">
        <v>0</v>
      </c>
      <c r="D383" t="s">
        <v>1149</v>
      </c>
      <c r="E383" s="51">
        <v>5</v>
      </c>
      <c r="F383" t="s">
        <v>279</v>
      </c>
      <c r="G383" s="51">
        <v>0</v>
      </c>
      <c r="H383" t="s">
        <v>279</v>
      </c>
      <c r="I383" s="51">
        <v>0</v>
      </c>
    </row>
    <row r="384" spans="1:9" x14ac:dyDescent="0.2">
      <c r="A384" t="s">
        <v>933</v>
      </c>
      <c r="B384" s="51" t="s">
        <v>1537</v>
      </c>
      <c r="C384" s="51">
        <v>0</v>
      </c>
      <c r="D384" t="s">
        <v>1149</v>
      </c>
      <c r="E384" s="51">
        <v>1</v>
      </c>
      <c r="F384" t="s">
        <v>275</v>
      </c>
      <c r="G384" s="51">
        <v>0</v>
      </c>
      <c r="H384" t="s">
        <v>275</v>
      </c>
      <c r="I384" s="51">
        <v>0</v>
      </c>
    </row>
    <row r="385" spans="1:9" x14ac:dyDescent="0.2">
      <c r="A385" t="s">
        <v>934</v>
      </c>
      <c r="B385" s="51" t="s">
        <v>1538</v>
      </c>
      <c r="C385" s="51">
        <v>0</v>
      </c>
      <c r="D385" t="s">
        <v>1149</v>
      </c>
      <c r="E385" s="51">
        <v>1</v>
      </c>
      <c r="F385" t="s">
        <v>275</v>
      </c>
      <c r="G385" s="51">
        <v>0</v>
      </c>
      <c r="H385" t="s">
        <v>275</v>
      </c>
      <c r="I385" s="51">
        <v>0</v>
      </c>
    </row>
    <row r="386" spans="1:9" x14ac:dyDescent="0.2">
      <c r="A386" t="s">
        <v>1194</v>
      </c>
      <c r="B386" s="51" t="s">
        <v>1539</v>
      </c>
      <c r="C386" s="51">
        <v>0</v>
      </c>
      <c r="D386" t="s">
        <v>1149</v>
      </c>
      <c r="E386" s="51">
        <v>1</v>
      </c>
      <c r="F386" t="s">
        <v>275</v>
      </c>
      <c r="G386" s="51">
        <v>0</v>
      </c>
      <c r="H386" t="s">
        <v>275</v>
      </c>
      <c r="I386" s="51">
        <v>0</v>
      </c>
    </row>
    <row r="387" spans="1:9" x14ac:dyDescent="0.2">
      <c r="A387" t="s">
        <v>1195</v>
      </c>
      <c r="B387" s="51" t="s">
        <v>1540</v>
      </c>
      <c r="C387" s="51">
        <v>0</v>
      </c>
      <c r="D387" t="s">
        <v>1149</v>
      </c>
      <c r="E387" s="51">
        <v>5</v>
      </c>
      <c r="F387" t="s">
        <v>731</v>
      </c>
      <c r="G387" s="51">
        <v>1</v>
      </c>
      <c r="H387" t="s">
        <v>279</v>
      </c>
      <c r="I387" s="51">
        <v>0</v>
      </c>
    </row>
    <row r="388" spans="1:9" x14ac:dyDescent="0.2">
      <c r="A388" t="s">
        <v>936</v>
      </c>
      <c r="B388" s="51" t="s">
        <v>1541</v>
      </c>
      <c r="C388" s="51">
        <v>0</v>
      </c>
      <c r="D388" t="s">
        <v>1149</v>
      </c>
      <c r="E388" s="51">
        <v>3</v>
      </c>
      <c r="F388" t="s">
        <v>281</v>
      </c>
      <c r="G388" s="51">
        <v>0</v>
      </c>
      <c r="H388" t="s">
        <v>281</v>
      </c>
      <c r="I388" s="51">
        <v>0</v>
      </c>
    </row>
    <row r="389" spans="1:9" x14ac:dyDescent="0.2">
      <c r="A389" t="s">
        <v>932</v>
      </c>
      <c r="B389" s="51" t="s">
        <v>1542</v>
      </c>
      <c r="C389" s="51">
        <v>0</v>
      </c>
      <c r="D389" t="s">
        <v>1149</v>
      </c>
      <c r="E389" s="51">
        <v>1</v>
      </c>
      <c r="F389" t="s">
        <v>275</v>
      </c>
      <c r="G389" s="51">
        <v>0</v>
      </c>
      <c r="H389" t="s">
        <v>275</v>
      </c>
      <c r="I389" s="51">
        <v>0</v>
      </c>
    </row>
    <row r="390" spans="1:9" x14ac:dyDescent="0.2">
      <c r="A390" t="s">
        <v>931</v>
      </c>
      <c r="B390" s="51" t="s">
        <v>1543</v>
      </c>
      <c r="C390" s="51">
        <v>0</v>
      </c>
      <c r="D390" t="s">
        <v>1149</v>
      </c>
      <c r="E390" s="51">
        <v>1</v>
      </c>
      <c r="F390" t="s">
        <v>275</v>
      </c>
      <c r="G390" s="51">
        <v>0</v>
      </c>
      <c r="H390" t="s">
        <v>275</v>
      </c>
      <c r="I390" s="51">
        <v>0</v>
      </c>
    </row>
    <row r="391" spans="1:9" x14ac:dyDescent="0.2">
      <c r="A391" t="s">
        <v>935</v>
      </c>
      <c r="B391" s="51" t="s">
        <v>1544</v>
      </c>
      <c r="C391" s="51">
        <v>0</v>
      </c>
      <c r="D391" t="s">
        <v>1149</v>
      </c>
      <c r="E391" s="51">
        <v>1</v>
      </c>
      <c r="F391" t="s">
        <v>275</v>
      </c>
      <c r="G391" s="51">
        <v>0</v>
      </c>
      <c r="H391" t="s">
        <v>275</v>
      </c>
      <c r="I391" s="51">
        <v>0</v>
      </c>
    </row>
    <row r="392" spans="1:9" x14ac:dyDescent="0.2">
      <c r="A392" t="s">
        <v>930</v>
      </c>
      <c r="B392" s="51" t="s">
        <v>1545</v>
      </c>
      <c r="C392" s="51">
        <v>0</v>
      </c>
      <c r="D392" t="s">
        <v>1149</v>
      </c>
      <c r="E392" s="51">
        <v>1</v>
      </c>
      <c r="F392" t="s">
        <v>275</v>
      </c>
      <c r="G392" s="51">
        <v>0</v>
      </c>
      <c r="H392" t="s">
        <v>275</v>
      </c>
      <c r="I392" s="51">
        <v>0</v>
      </c>
    </row>
    <row r="393" spans="1:9" x14ac:dyDescent="0.2">
      <c r="A393" t="s">
        <v>938</v>
      </c>
      <c r="B393" s="51" t="s">
        <v>1546</v>
      </c>
      <c r="C393" s="51">
        <v>0</v>
      </c>
      <c r="D393" t="s">
        <v>1149</v>
      </c>
      <c r="E393" s="51">
        <v>1</v>
      </c>
      <c r="F393" t="s">
        <v>275</v>
      </c>
      <c r="G393" s="51">
        <v>0</v>
      </c>
      <c r="H393" t="s">
        <v>275</v>
      </c>
      <c r="I393" s="51">
        <v>0</v>
      </c>
    </row>
    <row r="394" spans="1:9" x14ac:dyDescent="0.2">
      <c r="A394" t="s">
        <v>940</v>
      </c>
      <c r="B394" s="51" t="s">
        <v>1547</v>
      </c>
      <c r="C394" s="51">
        <v>0</v>
      </c>
      <c r="D394" t="s">
        <v>1149</v>
      </c>
      <c r="E394" s="51">
        <v>3</v>
      </c>
      <c r="F394" t="s">
        <v>281</v>
      </c>
      <c r="G394" s="51">
        <v>0</v>
      </c>
      <c r="H394" t="s">
        <v>281</v>
      </c>
      <c r="I394" s="51">
        <v>0</v>
      </c>
    </row>
    <row r="395" spans="1:9" x14ac:dyDescent="0.2">
      <c r="A395" t="s">
        <v>952</v>
      </c>
      <c r="B395" s="51" t="s">
        <v>1548</v>
      </c>
      <c r="C395" s="51">
        <v>0</v>
      </c>
      <c r="D395" t="s">
        <v>1149</v>
      </c>
      <c r="E395" s="51">
        <v>3</v>
      </c>
      <c r="F395" t="s">
        <v>281</v>
      </c>
      <c r="G395" s="51">
        <v>0</v>
      </c>
      <c r="H395" t="s">
        <v>281</v>
      </c>
      <c r="I395" s="51">
        <v>0</v>
      </c>
    </row>
    <row r="396" spans="1:9" x14ac:dyDescent="0.2">
      <c r="A396" t="s">
        <v>1196</v>
      </c>
      <c r="B396" s="51" t="s">
        <v>1549</v>
      </c>
      <c r="C396" s="51">
        <v>0</v>
      </c>
      <c r="D396" t="s">
        <v>1149</v>
      </c>
      <c r="E396" s="51">
        <v>1</v>
      </c>
      <c r="F396" t="s">
        <v>275</v>
      </c>
      <c r="G396" s="51">
        <v>0</v>
      </c>
      <c r="H396" t="s">
        <v>275</v>
      </c>
      <c r="I396" s="51">
        <v>0</v>
      </c>
    </row>
    <row r="397" spans="1:9" x14ac:dyDescent="0.2">
      <c r="A397" t="s">
        <v>1197</v>
      </c>
      <c r="B397" s="51" t="s">
        <v>1550</v>
      </c>
      <c r="C397" s="51">
        <v>0</v>
      </c>
      <c r="D397" t="s">
        <v>1149</v>
      </c>
      <c r="E397" s="51">
        <v>1</v>
      </c>
      <c r="F397" t="s">
        <v>275</v>
      </c>
      <c r="G397" s="51">
        <v>0</v>
      </c>
      <c r="H397" t="s">
        <v>275</v>
      </c>
      <c r="I397" s="51">
        <v>0</v>
      </c>
    </row>
    <row r="398" spans="1:9" x14ac:dyDescent="0.2">
      <c r="A398" t="s">
        <v>951</v>
      </c>
      <c r="B398" s="51" t="s">
        <v>1551</v>
      </c>
      <c r="C398" s="51">
        <v>0</v>
      </c>
      <c r="D398" t="s">
        <v>1149</v>
      </c>
      <c r="E398" s="51">
        <v>1</v>
      </c>
      <c r="F398" t="s">
        <v>275</v>
      </c>
      <c r="G398" s="51">
        <v>0</v>
      </c>
      <c r="H398" t="s">
        <v>275</v>
      </c>
      <c r="I398" s="51">
        <v>0</v>
      </c>
    </row>
    <row r="399" spans="1:9" x14ac:dyDescent="0.2">
      <c r="A399" t="s">
        <v>941</v>
      </c>
      <c r="B399" s="51" t="s">
        <v>1552</v>
      </c>
      <c r="C399" s="51">
        <v>0</v>
      </c>
      <c r="D399" t="s">
        <v>1149</v>
      </c>
      <c r="E399" s="51">
        <v>3</v>
      </c>
      <c r="F399" t="s">
        <v>281</v>
      </c>
      <c r="G399" s="51">
        <v>0</v>
      </c>
      <c r="H399" t="s">
        <v>281</v>
      </c>
      <c r="I399" s="51">
        <v>0</v>
      </c>
    </row>
    <row r="400" spans="1:9" x14ac:dyDescent="0.2">
      <c r="A400" t="s">
        <v>943</v>
      </c>
      <c r="B400" s="51" t="s">
        <v>1553</v>
      </c>
      <c r="C400" s="51">
        <v>0</v>
      </c>
      <c r="D400" t="s">
        <v>1149</v>
      </c>
      <c r="E400" s="51">
        <v>3</v>
      </c>
      <c r="F400" t="s">
        <v>281</v>
      </c>
      <c r="G400" s="51">
        <v>0</v>
      </c>
      <c r="H400" t="s">
        <v>281</v>
      </c>
      <c r="I400" s="51">
        <v>0</v>
      </c>
    </row>
    <row r="401" spans="1:9" x14ac:dyDescent="0.2">
      <c r="A401" t="s">
        <v>948</v>
      </c>
      <c r="B401" s="51" t="s">
        <v>1554</v>
      </c>
      <c r="C401" s="51">
        <v>0</v>
      </c>
      <c r="D401" t="s">
        <v>1149</v>
      </c>
      <c r="E401" s="51">
        <v>1</v>
      </c>
      <c r="F401" t="s">
        <v>275</v>
      </c>
      <c r="G401" s="51">
        <v>0</v>
      </c>
      <c r="H401" t="s">
        <v>275</v>
      </c>
      <c r="I401" s="51">
        <v>0</v>
      </c>
    </row>
    <row r="402" spans="1:9" x14ac:dyDescent="0.2">
      <c r="A402" t="s">
        <v>944</v>
      </c>
      <c r="B402" s="51" t="s">
        <v>1555</v>
      </c>
      <c r="C402" s="51">
        <v>0</v>
      </c>
      <c r="D402" t="s">
        <v>1149</v>
      </c>
      <c r="E402" s="51">
        <v>3</v>
      </c>
      <c r="F402" t="s">
        <v>281</v>
      </c>
      <c r="G402" s="51">
        <v>0</v>
      </c>
      <c r="H402" t="s">
        <v>281</v>
      </c>
      <c r="I402" s="51">
        <v>0</v>
      </c>
    </row>
    <row r="403" spans="1:9" x14ac:dyDescent="0.2">
      <c r="A403" t="s">
        <v>947</v>
      </c>
      <c r="B403" s="51" t="s">
        <v>1556</v>
      </c>
      <c r="C403" s="51">
        <v>0</v>
      </c>
      <c r="D403" t="s">
        <v>1149</v>
      </c>
      <c r="E403" s="51">
        <v>1</v>
      </c>
      <c r="F403" t="s">
        <v>275</v>
      </c>
      <c r="G403" s="51">
        <v>0</v>
      </c>
      <c r="H403" t="s">
        <v>275</v>
      </c>
      <c r="I403" s="51">
        <v>0</v>
      </c>
    </row>
    <row r="404" spans="1:9" x14ac:dyDescent="0.2">
      <c r="A404" t="s">
        <v>1198</v>
      </c>
      <c r="B404" s="51" t="s">
        <v>1557</v>
      </c>
      <c r="C404" s="51">
        <v>0</v>
      </c>
      <c r="D404" t="s">
        <v>1149</v>
      </c>
      <c r="E404" s="51">
        <v>1</v>
      </c>
      <c r="F404" t="s">
        <v>275</v>
      </c>
      <c r="G404" s="51">
        <v>0</v>
      </c>
      <c r="H404" t="s">
        <v>275</v>
      </c>
      <c r="I404" s="51">
        <v>0</v>
      </c>
    </row>
    <row r="405" spans="1:9" x14ac:dyDescent="0.2">
      <c r="A405" t="s">
        <v>946</v>
      </c>
      <c r="B405" s="51" t="s">
        <v>1558</v>
      </c>
      <c r="C405" s="51">
        <v>0</v>
      </c>
      <c r="D405" t="s">
        <v>1149</v>
      </c>
      <c r="E405" s="51">
        <v>1</v>
      </c>
      <c r="F405" t="s">
        <v>275</v>
      </c>
      <c r="G405" s="51">
        <v>0</v>
      </c>
      <c r="H405" t="s">
        <v>275</v>
      </c>
      <c r="I405" s="51">
        <v>0</v>
      </c>
    </row>
    <row r="406" spans="1:9" x14ac:dyDescent="0.2">
      <c r="A406" t="s">
        <v>1199</v>
      </c>
      <c r="B406" s="51" t="s">
        <v>1559</v>
      </c>
      <c r="C406" s="51">
        <v>0</v>
      </c>
      <c r="D406" t="s">
        <v>1149</v>
      </c>
      <c r="E406" s="51">
        <v>3</v>
      </c>
      <c r="F406" t="s">
        <v>281</v>
      </c>
      <c r="G406" s="51">
        <v>0</v>
      </c>
      <c r="H406" t="s">
        <v>281</v>
      </c>
      <c r="I406" s="51">
        <v>0</v>
      </c>
    </row>
    <row r="407" spans="1:9" x14ac:dyDescent="0.2">
      <c r="A407" t="s">
        <v>954</v>
      </c>
      <c r="B407" s="51" t="s">
        <v>1560</v>
      </c>
      <c r="C407" s="51">
        <v>0</v>
      </c>
      <c r="D407" t="s">
        <v>1149</v>
      </c>
      <c r="E407" s="51">
        <v>3</v>
      </c>
      <c r="F407" t="s">
        <v>281</v>
      </c>
      <c r="G407" s="51">
        <v>0</v>
      </c>
      <c r="H407" t="s">
        <v>281</v>
      </c>
      <c r="I407" s="51">
        <v>0</v>
      </c>
    </row>
    <row r="408" spans="1:9" x14ac:dyDescent="0.2">
      <c r="A408" t="s">
        <v>950</v>
      </c>
      <c r="B408" s="51" t="s">
        <v>1561</v>
      </c>
      <c r="C408" s="51">
        <v>0</v>
      </c>
      <c r="D408" t="s">
        <v>1149</v>
      </c>
      <c r="E408" s="51">
        <v>1</v>
      </c>
      <c r="F408" t="s">
        <v>275</v>
      </c>
      <c r="G408" s="51">
        <v>0</v>
      </c>
      <c r="H408" t="s">
        <v>275</v>
      </c>
      <c r="I408" s="51">
        <v>0</v>
      </c>
    </row>
    <row r="409" spans="1:9" x14ac:dyDescent="0.2">
      <c r="A409" t="s">
        <v>949</v>
      </c>
      <c r="B409" s="51" t="s">
        <v>1562</v>
      </c>
      <c r="C409" s="51">
        <v>0</v>
      </c>
      <c r="D409" t="s">
        <v>1149</v>
      </c>
      <c r="E409" s="51">
        <v>1</v>
      </c>
      <c r="F409" t="s">
        <v>275</v>
      </c>
      <c r="G409" s="51">
        <v>0</v>
      </c>
      <c r="H409" t="s">
        <v>275</v>
      </c>
      <c r="I409" s="51">
        <v>0</v>
      </c>
    </row>
    <row r="410" spans="1:9" x14ac:dyDescent="0.2">
      <c r="A410" t="s">
        <v>942</v>
      </c>
      <c r="B410" s="51" t="s">
        <v>1563</v>
      </c>
      <c r="C410" s="51">
        <v>0</v>
      </c>
      <c r="D410" t="s">
        <v>1149</v>
      </c>
      <c r="E410" s="51">
        <v>3</v>
      </c>
      <c r="F410" t="s">
        <v>281</v>
      </c>
      <c r="G410" s="51">
        <v>0</v>
      </c>
      <c r="H410" t="s">
        <v>281</v>
      </c>
      <c r="I410" s="51">
        <v>0</v>
      </c>
    </row>
    <row r="411" spans="1:9" x14ac:dyDescent="0.2">
      <c r="A411" t="s">
        <v>1200</v>
      </c>
      <c r="B411" s="51" t="s">
        <v>1564</v>
      </c>
      <c r="C411" s="51">
        <v>0</v>
      </c>
      <c r="D411" t="s">
        <v>1149</v>
      </c>
      <c r="E411" s="51">
        <v>1</v>
      </c>
      <c r="F411" t="s">
        <v>275</v>
      </c>
      <c r="G411" s="51">
        <v>0</v>
      </c>
      <c r="H411" t="s">
        <v>275</v>
      </c>
      <c r="I411" s="51">
        <v>0</v>
      </c>
    </row>
    <row r="412" spans="1:9" x14ac:dyDescent="0.2">
      <c r="A412" t="s">
        <v>945</v>
      </c>
      <c r="B412" s="51" t="s">
        <v>1565</v>
      </c>
      <c r="C412" s="51">
        <v>0</v>
      </c>
      <c r="D412" t="s">
        <v>1149</v>
      </c>
      <c r="E412" s="51">
        <v>1</v>
      </c>
      <c r="F412" t="s">
        <v>275</v>
      </c>
      <c r="G412" s="51">
        <v>0</v>
      </c>
      <c r="H412" t="s">
        <v>275</v>
      </c>
      <c r="I412" s="51">
        <v>0</v>
      </c>
    </row>
    <row r="413" spans="1:9" x14ac:dyDescent="0.2">
      <c r="A413" t="s">
        <v>953</v>
      </c>
      <c r="B413" s="51" t="s">
        <v>1566</v>
      </c>
      <c r="C413" s="51">
        <v>0</v>
      </c>
      <c r="D413" t="s">
        <v>1149</v>
      </c>
      <c r="E413" s="51">
        <v>3</v>
      </c>
      <c r="F413" t="s">
        <v>281</v>
      </c>
      <c r="G413" s="51">
        <v>0</v>
      </c>
      <c r="H413" t="s">
        <v>281</v>
      </c>
      <c r="I413" s="51">
        <v>0</v>
      </c>
    </row>
    <row r="414" spans="1:9" x14ac:dyDescent="0.2">
      <c r="A414" t="s">
        <v>1201</v>
      </c>
      <c r="B414" s="51" t="s">
        <v>1567</v>
      </c>
      <c r="C414" s="51">
        <v>0</v>
      </c>
      <c r="D414" t="s">
        <v>1149</v>
      </c>
      <c r="E414" s="51">
        <v>1</v>
      </c>
      <c r="F414" t="s">
        <v>275</v>
      </c>
      <c r="G414" s="51">
        <v>0</v>
      </c>
      <c r="H414" t="s">
        <v>275</v>
      </c>
      <c r="I414" s="51">
        <v>0</v>
      </c>
    </row>
    <row r="415" spans="1:9" x14ac:dyDescent="0.2">
      <c r="A415" t="s">
        <v>1202</v>
      </c>
      <c r="B415" s="51" t="s">
        <v>1568</v>
      </c>
      <c r="C415" s="51">
        <v>0</v>
      </c>
      <c r="D415" t="s">
        <v>1149</v>
      </c>
      <c r="E415" s="51">
        <v>3</v>
      </c>
      <c r="F415" t="s">
        <v>281</v>
      </c>
      <c r="G415" s="51">
        <v>0</v>
      </c>
      <c r="H415" t="s">
        <v>281</v>
      </c>
      <c r="I415" s="51">
        <v>0</v>
      </c>
    </row>
    <row r="416" spans="1:9" x14ac:dyDescent="0.2">
      <c r="A416" t="s">
        <v>955</v>
      </c>
      <c r="B416" s="51" t="s">
        <v>1569</v>
      </c>
      <c r="C416" s="51">
        <v>0</v>
      </c>
      <c r="D416" t="s">
        <v>1149</v>
      </c>
      <c r="E416" s="51">
        <v>1</v>
      </c>
      <c r="F416" t="s">
        <v>275</v>
      </c>
      <c r="G416" s="51">
        <v>0</v>
      </c>
      <c r="H416" t="s">
        <v>275</v>
      </c>
      <c r="I416" s="51">
        <v>0</v>
      </c>
    </row>
    <row r="417" spans="1:9" x14ac:dyDescent="0.2">
      <c r="A417" t="s">
        <v>925</v>
      </c>
      <c r="B417" s="51" t="s">
        <v>1570</v>
      </c>
      <c r="C417" s="51">
        <v>1</v>
      </c>
      <c r="D417" t="s">
        <v>1149</v>
      </c>
      <c r="E417" s="51">
        <v>5</v>
      </c>
      <c r="F417" t="s">
        <v>279</v>
      </c>
      <c r="G417" s="51">
        <v>0</v>
      </c>
      <c r="H417" t="s">
        <v>279</v>
      </c>
      <c r="I417" s="51">
        <v>0</v>
      </c>
    </row>
    <row r="418" spans="1:9" x14ac:dyDescent="0.2">
      <c r="A418" t="s">
        <v>928</v>
      </c>
      <c r="B418" s="51" t="s">
        <v>1571</v>
      </c>
      <c r="C418" s="51">
        <v>0</v>
      </c>
      <c r="D418" t="s">
        <v>1149</v>
      </c>
      <c r="E418" s="51">
        <v>5</v>
      </c>
      <c r="F418" t="s">
        <v>279</v>
      </c>
      <c r="G418" s="51">
        <v>0</v>
      </c>
      <c r="H418" t="s">
        <v>279</v>
      </c>
      <c r="I418" s="51">
        <v>0</v>
      </c>
    </row>
    <row r="419" spans="1:9" x14ac:dyDescent="0.2">
      <c r="A419" t="s">
        <v>927</v>
      </c>
      <c r="B419" s="51" t="s">
        <v>1572</v>
      </c>
      <c r="C419" s="51">
        <v>0</v>
      </c>
      <c r="D419" t="s">
        <v>1149</v>
      </c>
      <c r="E419" s="51">
        <v>5</v>
      </c>
      <c r="F419" t="s">
        <v>279</v>
      </c>
      <c r="G419" s="51">
        <v>0</v>
      </c>
      <c r="H419" t="s">
        <v>279</v>
      </c>
      <c r="I419" s="51">
        <v>0</v>
      </c>
    </row>
    <row r="420" spans="1:9" x14ac:dyDescent="0.2">
      <c r="A420" t="s">
        <v>1651</v>
      </c>
      <c r="B420" s="51">
        <v>9999</v>
      </c>
      <c r="C420" s="51">
        <v>0</v>
      </c>
      <c r="D420" t="s">
        <v>1149</v>
      </c>
      <c r="E420" s="51">
        <v>5</v>
      </c>
      <c r="F420" t="s">
        <v>279</v>
      </c>
      <c r="G420" s="51">
        <v>0</v>
      </c>
      <c r="H420" t="s">
        <v>279</v>
      </c>
      <c r="I420" s="5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DFE3-2234-438E-BBF9-4885BCD16D1B}">
  <dimension ref="A1:C3"/>
  <sheetViews>
    <sheetView workbookViewId="0">
      <selection activeCell="C4" sqref="C4"/>
    </sheetView>
  </sheetViews>
  <sheetFormatPr defaultColWidth="10.76171875" defaultRowHeight="15" x14ac:dyDescent="0.2"/>
  <cols>
    <col min="1" max="1" width="13.5859375" customWidth="1"/>
    <col min="2" max="2" width="22.8671875" customWidth="1"/>
    <col min="3" max="3" width="12.375" customWidth="1"/>
  </cols>
  <sheetData>
    <row r="1" spans="1:3" x14ac:dyDescent="0.2">
      <c r="A1" s="25" t="s">
        <v>1116</v>
      </c>
      <c r="B1" s="25" t="s">
        <v>1126</v>
      </c>
      <c r="C1" s="25" t="s">
        <v>1148</v>
      </c>
    </row>
    <row r="2" spans="1:3" x14ac:dyDescent="0.2">
      <c r="A2" s="49" t="s">
        <v>1149</v>
      </c>
      <c r="B2" s="67">
        <v>1</v>
      </c>
      <c r="C2" s="3">
        <v>5</v>
      </c>
    </row>
    <row r="3" spans="1:3" x14ac:dyDescent="0.2">
      <c r="A3" s="49" t="s">
        <v>1149</v>
      </c>
      <c r="B3" s="67">
        <v>0</v>
      </c>
      <c r="C3" s="5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8540-F176-48F5-8F47-E7B5454E41C4}">
  <dimension ref="A1:C3"/>
  <sheetViews>
    <sheetView workbookViewId="0">
      <selection activeCell="C4" sqref="C4"/>
    </sheetView>
  </sheetViews>
  <sheetFormatPr defaultColWidth="10.76171875" defaultRowHeight="15" x14ac:dyDescent="0.2"/>
  <cols>
    <col min="2" max="2" width="20.984375" customWidth="1"/>
  </cols>
  <sheetData>
    <row r="1" spans="1:3" x14ac:dyDescent="0.2">
      <c r="A1" s="25" t="s">
        <v>1116</v>
      </c>
      <c r="B1" s="25" t="s">
        <v>1652</v>
      </c>
      <c r="C1" s="25" t="s">
        <v>1148</v>
      </c>
    </row>
    <row r="2" spans="1:3" x14ac:dyDescent="0.2">
      <c r="A2" s="49" t="s">
        <v>1149</v>
      </c>
      <c r="B2" s="67">
        <v>1</v>
      </c>
      <c r="C2" s="3">
        <v>5</v>
      </c>
    </row>
    <row r="3" spans="1:3" x14ac:dyDescent="0.2">
      <c r="A3" s="49" t="s">
        <v>1149</v>
      </c>
      <c r="B3" s="67">
        <v>0</v>
      </c>
      <c r="C3" s="5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27E0-7CFE-432B-A11D-08BF4D09F80D}">
  <dimension ref="A1:C3"/>
  <sheetViews>
    <sheetView workbookViewId="0">
      <selection activeCell="C4" sqref="C4"/>
    </sheetView>
  </sheetViews>
  <sheetFormatPr defaultColWidth="10.76171875" defaultRowHeight="15" x14ac:dyDescent="0.2"/>
  <cols>
    <col min="2" max="2" width="29.0546875" customWidth="1"/>
  </cols>
  <sheetData>
    <row r="1" spans="1:3" x14ac:dyDescent="0.2">
      <c r="A1" s="25" t="s">
        <v>1116</v>
      </c>
      <c r="B1" s="25" t="s">
        <v>1203</v>
      </c>
      <c r="C1" s="25" t="s">
        <v>1148</v>
      </c>
    </row>
    <row r="2" spans="1:3" x14ac:dyDescent="0.2">
      <c r="A2" s="49" t="s">
        <v>1149</v>
      </c>
      <c r="B2" s="67">
        <v>1</v>
      </c>
      <c r="C2" s="3">
        <v>5</v>
      </c>
    </row>
    <row r="3" spans="1:3" x14ac:dyDescent="0.2">
      <c r="A3" s="49" t="s">
        <v>1149</v>
      </c>
      <c r="B3" s="67">
        <v>0</v>
      </c>
      <c r="C3" s="5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FE06-37D6-4DC1-AC43-27DE59C9458F}">
  <dimension ref="A1:C10"/>
  <sheetViews>
    <sheetView tabSelected="1" workbookViewId="0">
      <selection activeCell="C8" sqref="C8"/>
    </sheetView>
  </sheetViews>
  <sheetFormatPr defaultColWidth="10.76171875" defaultRowHeight="15" x14ac:dyDescent="0.2"/>
  <cols>
    <col min="2" max="2" width="23" customWidth="1"/>
  </cols>
  <sheetData>
    <row r="1" spans="1:3" x14ac:dyDescent="0.2">
      <c r="A1" s="25" t="s">
        <v>1116</v>
      </c>
      <c r="B1" s="25" t="s">
        <v>1129</v>
      </c>
      <c r="C1" s="25" t="s">
        <v>1148</v>
      </c>
    </row>
    <row r="2" spans="1:3" x14ac:dyDescent="0.2">
      <c r="A2" s="49" t="s">
        <v>1149</v>
      </c>
      <c r="B2" s="55" t="s">
        <v>1805</v>
      </c>
      <c r="C2" s="3">
        <v>2</v>
      </c>
    </row>
    <row r="3" spans="1:3" x14ac:dyDescent="0.2">
      <c r="A3" s="49" t="s">
        <v>1149</v>
      </c>
      <c r="B3" s="55" t="s">
        <v>1205</v>
      </c>
      <c r="C3" s="52">
        <v>5</v>
      </c>
    </row>
    <row r="7" spans="1:3" x14ac:dyDescent="0.2">
      <c r="B7" s="46"/>
    </row>
    <row r="8" spans="1:3" x14ac:dyDescent="0.2">
      <c r="B8" s="46"/>
    </row>
    <row r="10" spans="1:3" x14ac:dyDescent="0.2">
      <c r="C10" t="s">
        <v>1650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9DB9-9AF7-45DE-8370-77D4C0034DA3}">
  <dimension ref="A1:D136"/>
  <sheetViews>
    <sheetView topLeftCell="A127" zoomScale="115" zoomScaleNormal="115" workbookViewId="0">
      <selection activeCell="B137" sqref="B137"/>
    </sheetView>
  </sheetViews>
  <sheetFormatPr defaultColWidth="10.76171875" defaultRowHeight="15" x14ac:dyDescent="0.2"/>
  <cols>
    <col min="2" max="2" width="14.9296875" style="51" bestFit="1" customWidth="1"/>
    <col min="3" max="3" width="58.78515625" customWidth="1"/>
    <col min="4" max="4" width="10.4921875" style="51" customWidth="1"/>
  </cols>
  <sheetData>
    <row r="1" spans="1:4" x14ac:dyDescent="0.2">
      <c r="A1" s="2" t="s">
        <v>1116</v>
      </c>
      <c r="B1" s="2" t="s">
        <v>1204</v>
      </c>
      <c r="C1" s="2" t="s">
        <v>1130</v>
      </c>
      <c r="D1" s="2" t="s">
        <v>1148</v>
      </c>
    </row>
    <row r="2" spans="1:4" x14ac:dyDescent="0.2">
      <c r="A2" s="49" t="s">
        <v>1149</v>
      </c>
      <c r="B2" s="52">
        <v>1</v>
      </c>
      <c r="C2" s="4" t="s">
        <v>1682</v>
      </c>
      <c r="D2" s="53">
        <v>1</v>
      </c>
    </row>
    <row r="3" spans="1:4" x14ac:dyDescent="0.2">
      <c r="A3" s="49" t="s">
        <v>1149</v>
      </c>
      <c r="B3" s="52">
        <v>2</v>
      </c>
      <c r="C3" s="4" t="s">
        <v>1683</v>
      </c>
      <c r="D3" s="53">
        <v>1</v>
      </c>
    </row>
    <row r="4" spans="1:4" x14ac:dyDescent="0.2">
      <c r="A4" s="49" t="s">
        <v>1149</v>
      </c>
      <c r="B4" s="52">
        <v>3</v>
      </c>
      <c r="C4" s="4" t="s">
        <v>1684</v>
      </c>
      <c r="D4" s="53">
        <v>1</v>
      </c>
    </row>
    <row r="5" spans="1:4" x14ac:dyDescent="0.2">
      <c r="A5" s="49" t="s">
        <v>1149</v>
      </c>
      <c r="B5" s="52">
        <v>4</v>
      </c>
      <c r="C5" s="4" t="s">
        <v>1685</v>
      </c>
      <c r="D5" s="53">
        <v>1</v>
      </c>
    </row>
    <row r="6" spans="1:4" x14ac:dyDescent="0.2">
      <c r="A6" s="49" t="s">
        <v>1149</v>
      </c>
      <c r="B6" s="52">
        <v>5</v>
      </c>
      <c r="C6" s="4" t="s">
        <v>1686</v>
      </c>
      <c r="D6" s="53">
        <v>1</v>
      </c>
    </row>
    <row r="7" spans="1:4" x14ac:dyDescent="0.2">
      <c r="A7" s="49" t="s">
        <v>1149</v>
      </c>
      <c r="B7" s="52">
        <v>6</v>
      </c>
      <c r="C7" s="4" t="s">
        <v>1687</v>
      </c>
      <c r="D7" s="53">
        <v>1</v>
      </c>
    </row>
    <row r="8" spans="1:4" x14ac:dyDescent="0.2">
      <c r="A8" s="49" t="s">
        <v>1149</v>
      </c>
      <c r="B8" s="52">
        <v>7</v>
      </c>
      <c r="C8" s="4" t="s">
        <v>1688</v>
      </c>
      <c r="D8" s="53">
        <v>1</v>
      </c>
    </row>
    <row r="9" spans="1:4" x14ac:dyDescent="0.2">
      <c r="A9" s="49" t="s">
        <v>1149</v>
      </c>
      <c r="B9" s="52">
        <v>8</v>
      </c>
      <c r="C9" s="4" t="s">
        <v>1689</v>
      </c>
      <c r="D9" s="53">
        <v>1</v>
      </c>
    </row>
    <row r="10" spans="1:4" x14ac:dyDescent="0.2">
      <c r="A10" s="49" t="s">
        <v>1149</v>
      </c>
      <c r="B10" s="52">
        <v>9</v>
      </c>
      <c r="C10" s="4" t="s">
        <v>1690</v>
      </c>
      <c r="D10" s="53">
        <v>1</v>
      </c>
    </row>
    <row r="11" spans="1:4" x14ac:dyDescent="0.2">
      <c r="A11" s="49" t="s">
        <v>1149</v>
      </c>
      <c r="B11" s="52">
        <v>10</v>
      </c>
      <c r="C11" s="4" t="s">
        <v>1691</v>
      </c>
      <c r="D11" s="53">
        <v>1</v>
      </c>
    </row>
    <row r="12" spans="1:4" x14ac:dyDescent="0.2">
      <c r="A12" s="49" t="s">
        <v>1149</v>
      </c>
      <c r="B12" s="52">
        <v>11</v>
      </c>
      <c r="C12" s="4" t="s">
        <v>1692</v>
      </c>
      <c r="D12" s="53">
        <v>5</v>
      </c>
    </row>
    <row r="13" spans="1:4" x14ac:dyDescent="0.2">
      <c r="A13" s="49" t="s">
        <v>1149</v>
      </c>
      <c r="B13" s="52">
        <v>12</v>
      </c>
      <c r="C13" s="4" t="s">
        <v>1693</v>
      </c>
      <c r="D13" s="53">
        <v>5</v>
      </c>
    </row>
    <row r="14" spans="1:4" x14ac:dyDescent="0.2">
      <c r="A14" s="49" t="s">
        <v>1149</v>
      </c>
      <c r="B14" s="52">
        <v>13</v>
      </c>
      <c r="C14" s="4" t="s">
        <v>1694</v>
      </c>
      <c r="D14" s="53">
        <v>5</v>
      </c>
    </row>
    <row r="15" spans="1:4" x14ac:dyDescent="0.2">
      <c r="A15" s="49" t="s">
        <v>1149</v>
      </c>
      <c r="B15" s="52">
        <v>14</v>
      </c>
      <c r="C15" s="4" t="s">
        <v>1695</v>
      </c>
      <c r="D15" s="53">
        <v>5</v>
      </c>
    </row>
    <row r="16" spans="1:4" x14ac:dyDescent="0.2">
      <c r="A16" s="49" t="s">
        <v>1149</v>
      </c>
      <c r="B16" s="52">
        <v>15</v>
      </c>
      <c r="C16" s="4" t="s">
        <v>1696</v>
      </c>
      <c r="D16" s="53">
        <v>5</v>
      </c>
    </row>
    <row r="17" spans="1:4" x14ac:dyDescent="0.2">
      <c r="A17" s="49" t="s">
        <v>1149</v>
      </c>
      <c r="B17" s="52">
        <v>16</v>
      </c>
      <c r="C17" s="4" t="s">
        <v>1697</v>
      </c>
      <c r="D17" s="53">
        <v>5</v>
      </c>
    </row>
    <row r="18" spans="1:4" x14ac:dyDescent="0.2">
      <c r="A18" s="49" t="s">
        <v>1149</v>
      </c>
      <c r="B18" s="52">
        <v>17</v>
      </c>
      <c r="C18" s="4" t="s">
        <v>1698</v>
      </c>
      <c r="D18" s="53">
        <v>5</v>
      </c>
    </row>
    <row r="19" spans="1:4" x14ac:dyDescent="0.2">
      <c r="A19" s="49" t="s">
        <v>1149</v>
      </c>
      <c r="B19" s="52">
        <v>18</v>
      </c>
      <c r="C19" s="4" t="s">
        <v>1699</v>
      </c>
      <c r="D19" s="53">
        <v>3</v>
      </c>
    </row>
    <row r="20" spans="1:4" x14ac:dyDescent="0.2">
      <c r="A20" s="49" t="s">
        <v>1149</v>
      </c>
      <c r="B20" s="52">
        <v>19</v>
      </c>
      <c r="C20" s="4" t="s">
        <v>1700</v>
      </c>
      <c r="D20" s="53">
        <v>3</v>
      </c>
    </row>
    <row r="21" spans="1:4" x14ac:dyDescent="0.2">
      <c r="A21" s="49" t="s">
        <v>1149</v>
      </c>
      <c r="B21" s="52">
        <v>20</v>
      </c>
      <c r="C21" s="4" t="s">
        <v>1701</v>
      </c>
      <c r="D21" s="53">
        <v>1</v>
      </c>
    </row>
    <row r="22" spans="1:4" x14ac:dyDescent="0.2">
      <c r="A22" s="49" t="s">
        <v>1149</v>
      </c>
      <c r="B22" s="52">
        <v>21</v>
      </c>
      <c r="C22" s="4" t="s">
        <v>1702</v>
      </c>
      <c r="D22" s="53">
        <v>3</v>
      </c>
    </row>
    <row r="23" spans="1:4" x14ac:dyDescent="0.2">
      <c r="A23" s="49" t="s">
        <v>1149</v>
      </c>
      <c r="B23" s="52">
        <v>22</v>
      </c>
      <c r="C23" s="4" t="s">
        <v>1703</v>
      </c>
      <c r="D23" s="53">
        <v>3</v>
      </c>
    </row>
    <row r="24" spans="1:4" x14ac:dyDescent="0.2">
      <c r="A24" s="49" t="s">
        <v>1149</v>
      </c>
      <c r="B24" s="52">
        <v>23</v>
      </c>
      <c r="C24" s="4" t="s">
        <v>1704</v>
      </c>
      <c r="D24" s="53">
        <v>3</v>
      </c>
    </row>
    <row r="25" spans="1:4" x14ac:dyDescent="0.2">
      <c r="A25" s="49" t="s">
        <v>1149</v>
      </c>
      <c r="B25" s="52">
        <v>24</v>
      </c>
      <c r="C25" s="4" t="s">
        <v>1705</v>
      </c>
      <c r="D25" s="53">
        <v>3</v>
      </c>
    </row>
    <row r="26" spans="1:4" x14ac:dyDescent="0.2">
      <c r="A26" s="49" t="s">
        <v>1149</v>
      </c>
      <c r="B26" s="52">
        <v>25</v>
      </c>
      <c r="C26" s="4" t="s">
        <v>1706</v>
      </c>
      <c r="D26" s="53">
        <v>3</v>
      </c>
    </row>
    <row r="27" spans="1:4" x14ac:dyDescent="0.2">
      <c r="A27" s="49" t="s">
        <v>1149</v>
      </c>
      <c r="B27" s="52">
        <v>26</v>
      </c>
      <c r="C27" s="10" t="s">
        <v>1707</v>
      </c>
      <c r="D27" s="54">
        <v>3</v>
      </c>
    </row>
    <row r="28" spans="1:4" x14ac:dyDescent="0.2">
      <c r="A28" s="49" t="s">
        <v>1149</v>
      </c>
      <c r="B28" s="52">
        <v>27</v>
      </c>
      <c r="C28" s="10" t="s">
        <v>1708</v>
      </c>
      <c r="D28" s="54">
        <v>5</v>
      </c>
    </row>
    <row r="29" spans="1:4" x14ac:dyDescent="0.2">
      <c r="A29" s="49" t="s">
        <v>1149</v>
      </c>
      <c r="B29" s="52">
        <v>28</v>
      </c>
      <c r="C29" s="10" t="s">
        <v>1709</v>
      </c>
      <c r="D29" s="54">
        <v>1</v>
      </c>
    </row>
    <row r="30" spans="1:4" x14ac:dyDescent="0.2">
      <c r="A30" s="49" t="s">
        <v>1149</v>
      </c>
      <c r="B30" s="52">
        <v>29</v>
      </c>
      <c r="C30" s="10" t="s">
        <v>1710</v>
      </c>
      <c r="D30" s="54">
        <v>5</v>
      </c>
    </row>
    <row r="31" spans="1:4" x14ac:dyDescent="0.2">
      <c r="A31" s="49" t="s">
        <v>1149</v>
      </c>
      <c r="B31" s="52">
        <v>30</v>
      </c>
      <c r="C31" s="11" t="s">
        <v>1711</v>
      </c>
      <c r="D31" s="12">
        <v>5</v>
      </c>
    </row>
    <row r="32" spans="1:4" x14ac:dyDescent="0.2">
      <c r="A32" s="49" t="s">
        <v>1149</v>
      </c>
      <c r="B32" s="52">
        <v>31</v>
      </c>
      <c r="C32" s="49" t="s">
        <v>1712</v>
      </c>
      <c r="D32" s="52">
        <v>1</v>
      </c>
    </row>
    <row r="33" spans="1:4" x14ac:dyDescent="0.2">
      <c r="A33" s="49" t="s">
        <v>1149</v>
      </c>
      <c r="B33" s="52">
        <v>32</v>
      </c>
      <c r="C33" s="49" t="s">
        <v>1713</v>
      </c>
      <c r="D33" s="52">
        <v>5</v>
      </c>
    </row>
    <row r="34" spans="1:4" x14ac:dyDescent="0.2">
      <c r="A34" s="49" t="s">
        <v>1149</v>
      </c>
      <c r="B34" s="52">
        <v>33</v>
      </c>
      <c r="C34" s="49" t="s">
        <v>1714</v>
      </c>
      <c r="D34" s="52">
        <v>5</v>
      </c>
    </row>
    <row r="35" spans="1:4" x14ac:dyDescent="0.2">
      <c r="A35" s="49" t="s">
        <v>1149</v>
      </c>
      <c r="B35" s="52">
        <v>34</v>
      </c>
      <c r="C35" s="49" t="s">
        <v>1715</v>
      </c>
      <c r="D35" s="52">
        <v>5</v>
      </c>
    </row>
    <row r="36" spans="1:4" x14ac:dyDescent="0.2">
      <c r="A36" s="49" t="s">
        <v>1149</v>
      </c>
      <c r="B36" s="52">
        <v>35</v>
      </c>
      <c r="C36" s="49" t="s">
        <v>1716</v>
      </c>
      <c r="D36" s="52">
        <v>1</v>
      </c>
    </row>
    <row r="37" spans="1:4" x14ac:dyDescent="0.2">
      <c r="A37" s="49" t="s">
        <v>1149</v>
      </c>
      <c r="B37" s="52">
        <v>36</v>
      </c>
      <c r="C37" s="49" t="s">
        <v>1717</v>
      </c>
      <c r="D37" s="52">
        <v>3</v>
      </c>
    </row>
    <row r="38" spans="1:4" x14ac:dyDescent="0.2">
      <c r="A38" s="49" t="s">
        <v>1149</v>
      </c>
      <c r="B38" s="52">
        <v>37</v>
      </c>
      <c r="C38" s="49" t="s">
        <v>1718</v>
      </c>
      <c r="D38" s="52">
        <v>1</v>
      </c>
    </row>
    <row r="39" spans="1:4" x14ac:dyDescent="0.2">
      <c r="A39" s="49" t="s">
        <v>1149</v>
      </c>
      <c r="B39" s="52">
        <v>38</v>
      </c>
      <c r="C39" s="49" t="s">
        <v>1719</v>
      </c>
      <c r="D39" s="52">
        <v>5</v>
      </c>
    </row>
    <row r="40" spans="1:4" x14ac:dyDescent="0.2">
      <c r="A40" s="49" t="s">
        <v>1149</v>
      </c>
      <c r="B40" s="52">
        <v>39</v>
      </c>
      <c r="C40" s="49" t="s">
        <v>1720</v>
      </c>
      <c r="D40" s="52">
        <v>5</v>
      </c>
    </row>
    <row r="41" spans="1:4" x14ac:dyDescent="0.2">
      <c r="A41" s="49" t="s">
        <v>1149</v>
      </c>
      <c r="B41" s="52">
        <v>40</v>
      </c>
      <c r="C41" s="49" t="s">
        <v>1721</v>
      </c>
      <c r="D41" s="52">
        <v>1</v>
      </c>
    </row>
    <row r="42" spans="1:4" x14ac:dyDescent="0.2">
      <c r="A42" s="49" t="s">
        <v>1149</v>
      </c>
      <c r="B42" s="52">
        <v>41</v>
      </c>
      <c r="C42" s="49" t="s">
        <v>1722</v>
      </c>
      <c r="D42" s="52">
        <v>5</v>
      </c>
    </row>
    <row r="43" spans="1:4" x14ac:dyDescent="0.2">
      <c r="A43" s="49" t="s">
        <v>1149</v>
      </c>
      <c r="B43" s="52">
        <v>42</v>
      </c>
      <c r="C43" s="49" t="s">
        <v>1723</v>
      </c>
      <c r="D43" s="52">
        <v>5</v>
      </c>
    </row>
    <row r="44" spans="1:4" x14ac:dyDescent="0.2">
      <c r="A44" s="49" t="s">
        <v>1149</v>
      </c>
      <c r="B44" s="52">
        <v>43</v>
      </c>
      <c r="C44" s="49" t="s">
        <v>1724</v>
      </c>
      <c r="D44" s="52">
        <v>1</v>
      </c>
    </row>
    <row r="45" spans="1:4" x14ac:dyDescent="0.2">
      <c r="A45" s="49" t="s">
        <v>1149</v>
      </c>
      <c r="B45" s="52">
        <v>44</v>
      </c>
      <c r="C45" s="49" t="s">
        <v>1725</v>
      </c>
      <c r="D45" s="52">
        <v>5</v>
      </c>
    </row>
    <row r="46" spans="1:4" x14ac:dyDescent="0.2">
      <c r="A46" s="49" t="s">
        <v>1149</v>
      </c>
      <c r="B46" s="52">
        <v>45</v>
      </c>
      <c r="C46" s="49" t="s">
        <v>1726</v>
      </c>
      <c r="D46" s="52">
        <v>5</v>
      </c>
    </row>
    <row r="47" spans="1:4" x14ac:dyDescent="0.2">
      <c r="A47" s="49" t="s">
        <v>1149</v>
      </c>
      <c r="B47" s="52">
        <v>46</v>
      </c>
      <c r="C47" s="49" t="s">
        <v>1727</v>
      </c>
      <c r="D47" s="52">
        <v>1</v>
      </c>
    </row>
    <row r="48" spans="1:4" x14ac:dyDescent="0.2">
      <c r="A48" s="49" t="s">
        <v>1149</v>
      </c>
      <c r="B48" s="52">
        <v>47</v>
      </c>
      <c r="C48" s="49" t="s">
        <v>1728</v>
      </c>
      <c r="D48" s="52">
        <v>1</v>
      </c>
    </row>
    <row r="49" spans="1:4" x14ac:dyDescent="0.2">
      <c r="A49" s="49" t="s">
        <v>1149</v>
      </c>
      <c r="B49" s="52">
        <v>48</v>
      </c>
      <c r="C49" s="49" t="s">
        <v>1729</v>
      </c>
      <c r="D49" s="52">
        <v>5</v>
      </c>
    </row>
    <row r="50" spans="1:4" x14ac:dyDescent="0.2">
      <c r="A50" s="49" t="s">
        <v>1149</v>
      </c>
      <c r="B50" s="52">
        <v>49</v>
      </c>
      <c r="C50" s="49" t="s">
        <v>1730</v>
      </c>
      <c r="D50" s="52">
        <v>5</v>
      </c>
    </row>
    <row r="51" spans="1:4" x14ac:dyDescent="0.2">
      <c r="A51" s="49" t="s">
        <v>1149</v>
      </c>
      <c r="B51" s="52">
        <v>50</v>
      </c>
      <c r="C51" s="49" t="s">
        <v>1670</v>
      </c>
      <c r="D51" s="52">
        <v>5</v>
      </c>
    </row>
    <row r="52" spans="1:4" x14ac:dyDescent="0.2">
      <c r="A52" s="49" t="s">
        <v>1149</v>
      </c>
      <c r="B52" s="52">
        <v>51</v>
      </c>
      <c r="C52" s="49" t="s">
        <v>1731</v>
      </c>
      <c r="D52" s="52">
        <v>5</v>
      </c>
    </row>
    <row r="53" spans="1:4" x14ac:dyDescent="0.2">
      <c r="A53" s="49" t="s">
        <v>1149</v>
      </c>
      <c r="B53" s="52">
        <v>52</v>
      </c>
      <c r="C53" s="49" t="s">
        <v>1732</v>
      </c>
      <c r="D53" s="52">
        <v>5</v>
      </c>
    </row>
    <row r="54" spans="1:4" x14ac:dyDescent="0.2">
      <c r="A54" s="49" t="s">
        <v>1149</v>
      </c>
      <c r="B54" s="52">
        <v>53</v>
      </c>
      <c r="C54" s="49" t="s">
        <v>1733</v>
      </c>
      <c r="D54" s="52">
        <v>5</v>
      </c>
    </row>
    <row r="55" spans="1:4" x14ac:dyDescent="0.2">
      <c r="A55" s="49" t="s">
        <v>1149</v>
      </c>
      <c r="B55" s="52">
        <v>54</v>
      </c>
      <c r="C55" s="49" t="s">
        <v>1734</v>
      </c>
      <c r="D55" s="52">
        <v>5</v>
      </c>
    </row>
    <row r="56" spans="1:4" x14ac:dyDescent="0.2">
      <c r="A56" s="49" t="s">
        <v>1149</v>
      </c>
      <c r="B56" s="52">
        <v>55</v>
      </c>
      <c r="C56" s="49" t="s">
        <v>1671</v>
      </c>
      <c r="D56" s="52">
        <v>5</v>
      </c>
    </row>
    <row r="57" spans="1:4" x14ac:dyDescent="0.2">
      <c r="A57" s="49" t="s">
        <v>1149</v>
      </c>
      <c r="B57" s="52">
        <v>56</v>
      </c>
      <c r="C57" s="49" t="s">
        <v>1735</v>
      </c>
      <c r="D57" s="52">
        <v>5</v>
      </c>
    </row>
    <row r="58" spans="1:4" x14ac:dyDescent="0.2">
      <c r="A58" s="49" t="s">
        <v>1149</v>
      </c>
      <c r="B58" s="52">
        <v>57</v>
      </c>
      <c r="C58" s="49" t="s">
        <v>1736</v>
      </c>
      <c r="D58" s="52">
        <v>5</v>
      </c>
    </row>
    <row r="59" spans="1:4" x14ac:dyDescent="0.2">
      <c r="A59" s="49" t="s">
        <v>1149</v>
      </c>
      <c r="B59" s="52">
        <v>58</v>
      </c>
      <c r="C59" s="49" t="s">
        <v>1737</v>
      </c>
      <c r="D59" s="52">
        <v>5</v>
      </c>
    </row>
    <row r="60" spans="1:4" x14ac:dyDescent="0.2">
      <c r="A60" s="49" t="s">
        <v>1149</v>
      </c>
      <c r="B60" s="52">
        <v>59</v>
      </c>
      <c r="C60" s="49" t="s">
        <v>1738</v>
      </c>
      <c r="D60" s="52">
        <v>5</v>
      </c>
    </row>
    <row r="61" spans="1:4" x14ac:dyDescent="0.2">
      <c r="A61" s="49" t="s">
        <v>1149</v>
      </c>
      <c r="B61" s="52">
        <v>60</v>
      </c>
      <c r="C61" s="49" t="s">
        <v>1739</v>
      </c>
      <c r="D61" s="52">
        <v>5</v>
      </c>
    </row>
    <row r="62" spans="1:4" x14ac:dyDescent="0.2">
      <c r="A62" s="49" t="s">
        <v>1149</v>
      </c>
      <c r="B62" s="52">
        <v>61</v>
      </c>
      <c r="C62" s="49" t="s">
        <v>1740</v>
      </c>
      <c r="D62" s="52">
        <v>5</v>
      </c>
    </row>
    <row r="63" spans="1:4" x14ac:dyDescent="0.2">
      <c r="A63" s="49" t="s">
        <v>1149</v>
      </c>
      <c r="B63" s="52">
        <v>62</v>
      </c>
      <c r="C63" s="49" t="s">
        <v>1741</v>
      </c>
      <c r="D63" s="52">
        <v>5</v>
      </c>
    </row>
    <row r="64" spans="1:4" x14ac:dyDescent="0.2">
      <c r="A64" s="49" t="s">
        <v>1149</v>
      </c>
      <c r="B64" s="52">
        <v>63</v>
      </c>
      <c r="C64" s="49" t="s">
        <v>1742</v>
      </c>
      <c r="D64" s="52">
        <v>5</v>
      </c>
    </row>
    <row r="65" spans="1:4" x14ac:dyDescent="0.2">
      <c r="A65" s="49" t="s">
        <v>1149</v>
      </c>
      <c r="B65" s="52">
        <v>64</v>
      </c>
      <c r="C65" s="49" t="s">
        <v>1743</v>
      </c>
      <c r="D65" s="52">
        <v>1</v>
      </c>
    </row>
    <row r="66" spans="1:4" x14ac:dyDescent="0.2">
      <c r="A66" s="49" t="s">
        <v>1149</v>
      </c>
      <c r="B66" s="52">
        <v>65</v>
      </c>
      <c r="C66" s="49" t="s">
        <v>1744</v>
      </c>
      <c r="D66" s="52">
        <v>5</v>
      </c>
    </row>
    <row r="67" spans="1:4" x14ac:dyDescent="0.2">
      <c r="A67" s="49" t="s">
        <v>1149</v>
      </c>
      <c r="B67" s="52">
        <v>66</v>
      </c>
      <c r="C67" s="49" t="s">
        <v>1745</v>
      </c>
      <c r="D67" s="52">
        <v>5</v>
      </c>
    </row>
    <row r="68" spans="1:4" x14ac:dyDescent="0.2">
      <c r="A68" s="49" t="s">
        <v>1149</v>
      </c>
      <c r="B68" s="52">
        <v>67</v>
      </c>
      <c r="C68" s="49" t="s">
        <v>1746</v>
      </c>
      <c r="D68" s="52">
        <v>1</v>
      </c>
    </row>
    <row r="69" spans="1:4" x14ac:dyDescent="0.2">
      <c r="A69" s="49" t="s">
        <v>1149</v>
      </c>
      <c r="B69" s="52">
        <v>68</v>
      </c>
      <c r="C69" s="49" t="s">
        <v>1747</v>
      </c>
      <c r="D69" s="52">
        <v>5</v>
      </c>
    </row>
    <row r="70" spans="1:4" x14ac:dyDescent="0.2">
      <c r="A70" s="49" t="s">
        <v>1149</v>
      </c>
      <c r="B70" s="52">
        <v>69</v>
      </c>
      <c r="C70" s="49" t="s">
        <v>1748</v>
      </c>
      <c r="D70" s="52">
        <v>5</v>
      </c>
    </row>
    <row r="71" spans="1:4" x14ac:dyDescent="0.2">
      <c r="A71" s="49" t="s">
        <v>1149</v>
      </c>
      <c r="B71" s="52">
        <v>70</v>
      </c>
      <c r="C71" s="49" t="s">
        <v>1749</v>
      </c>
      <c r="D71" s="52">
        <v>5</v>
      </c>
    </row>
    <row r="72" spans="1:4" x14ac:dyDescent="0.2">
      <c r="A72" s="49" t="s">
        <v>1149</v>
      </c>
      <c r="B72" s="52">
        <v>71</v>
      </c>
      <c r="C72" s="49" t="s">
        <v>1750</v>
      </c>
      <c r="D72" s="52">
        <v>1</v>
      </c>
    </row>
    <row r="73" spans="1:4" x14ac:dyDescent="0.2">
      <c r="A73" s="49" t="s">
        <v>1149</v>
      </c>
      <c r="B73" s="52">
        <v>72</v>
      </c>
      <c r="C73" s="49" t="s">
        <v>1672</v>
      </c>
      <c r="D73" s="52">
        <v>5</v>
      </c>
    </row>
    <row r="74" spans="1:4" x14ac:dyDescent="0.2">
      <c r="A74" s="49" t="s">
        <v>1149</v>
      </c>
      <c r="B74" s="52">
        <v>73</v>
      </c>
      <c r="C74" s="49" t="s">
        <v>1751</v>
      </c>
      <c r="D74" s="52">
        <v>1</v>
      </c>
    </row>
    <row r="75" spans="1:4" x14ac:dyDescent="0.2">
      <c r="A75" s="49" t="s">
        <v>1149</v>
      </c>
      <c r="B75" s="52">
        <v>74</v>
      </c>
      <c r="C75" s="49" t="s">
        <v>1752</v>
      </c>
      <c r="D75" s="52">
        <v>5</v>
      </c>
    </row>
    <row r="76" spans="1:4" x14ac:dyDescent="0.2">
      <c r="A76" s="49" t="s">
        <v>1149</v>
      </c>
      <c r="B76" s="52">
        <v>75</v>
      </c>
      <c r="C76" s="49" t="s">
        <v>1673</v>
      </c>
      <c r="D76" s="52">
        <v>5</v>
      </c>
    </row>
    <row r="77" spans="1:4" x14ac:dyDescent="0.2">
      <c r="A77" s="49" t="s">
        <v>1149</v>
      </c>
      <c r="B77" s="52">
        <v>76</v>
      </c>
      <c r="C77" s="49" t="s">
        <v>1674</v>
      </c>
      <c r="D77" s="52">
        <v>5</v>
      </c>
    </row>
    <row r="78" spans="1:4" x14ac:dyDescent="0.2">
      <c r="A78" s="49" t="s">
        <v>1149</v>
      </c>
      <c r="B78" s="52">
        <v>77</v>
      </c>
      <c r="C78" s="49" t="s">
        <v>1753</v>
      </c>
      <c r="D78" s="52">
        <v>5</v>
      </c>
    </row>
    <row r="79" spans="1:4" x14ac:dyDescent="0.2">
      <c r="A79" s="49" t="s">
        <v>1149</v>
      </c>
      <c r="B79" s="52">
        <v>78</v>
      </c>
      <c r="C79" s="49" t="s">
        <v>1754</v>
      </c>
      <c r="D79" s="52">
        <v>1</v>
      </c>
    </row>
    <row r="80" spans="1:4" x14ac:dyDescent="0.2">
      <c r="A80" s="49" t="s">
        <v>1149</v>
      </c>
      <c r="B80" s="52">
        <v>79</v>
      </c>
      <c r="C80" s="49" t="s">
        <v>1755</v>
      </c>
      <c r="D80" s="52">
        <v>1</v>
      </c>
    </row>
    <row r="81" spans="1:4" x14ac:dyDescent="0.2">
      <c r="A81" s="49" t="s">
        <v>1149</v>
      </c>
      <c r="B81" s="52">
        <v>80</v>
      </c>
      <c r="C81" s="49" t="s">
        <v>1756</v>
      </c>
      <c r="D81" s="52">
        <v>1</v>
      </c>
    </row>
    <row r="82" spans="1:4" x14ac:dyDescent="0.2">
      <c r="A82" s="49" t="s">
        <v>1149</v>
      </c>
      <c r="B82" s="52">
        <v>81</v>
      </c>
      <c r="C82" s="49" t="s">
        <v>1757</v>
      </c>
      <c r="D82" s="52">
        <v>5</v>
      </c>
    </row>
    <row r="83" spans="1:4" x14ac:dyDescent="0.2">
      <c r="A83" s="49" t="s">
        <v>1149</v>
      </c>
      <c r="B83" s="52">
        <v>82</v>
      </c>
      <c r="C83" s="49" t="s">
        <v>1675</v>
      </c>
      <c r="D83" s="52">
        <v>5</v>
      </c>
    </row>
    <row r="84" spans="1:4" x14ac:dyDescent="0.2">
      <c r="A84" s="49" t="s">
        <v>1149</v>
      </c>
      <c r="B84" s="52">
        <v>83</v>
      </c>
      <c r="C84" s="49" t="s">
        <v>1758</v>
      </c>
      <c r="D84" s="52">
        <v>1</v>
      </c>
    </row>
    <row r="85" spans="1:4" x14ac:dyDescent="0.2">
      <c r="A85" s="49" t="s">
        <v>1149</v>
      </c>
      <c r="B85" s="52">
        <v>84</v>
      </c>
      <c r="C85" s="49" t="s">
        <v>1759</v>
      </c>
      <c r="D85" s="52">
        <v>5</v>
      </c>
    </row>
    <row r="86" spans="1:4" x14ac:dyDescent="0.2">
      <c r="A86" s="49" t="s">
        <v>1149</v>
      </c>
      <c r="B86" s="52">
        <v>85</v>
      </c>
      <c r="C86" s="49" t="s">
        <v>1760</v>
      </c>
      <c r="D86" s="52">
        <v>1</v>
      </c>
    </row>
    <row r="87" spans="1:4" x14ac:dyDescent="0.2">
      <c r="A87" s="49" t="s">
        <v>1149</v>
      </c>
      <c r="B87" s="52">
        <v>86</v>
      </c>
      <c r="C87" s="49" t="s">
        <v>1761</v>
      </c>
      <c r="D87" s="52">
        <v>1</v>
      </c>
    </row>
    <row r="88" spans="1:4" x14ac:dyDescent="0.2">
      <c r="A88" s="49" t="s">
        <v>1149</v>
      </c>
      <c r="B88" s="52">
        <v>87</v>
      </c>
      <c r="C88" s="49" t="s">
        <v>1762</v>
      </c>
      <c r="D88" s="52">
        <v>5</v>
      </c>
    </row>
    <row r="89" spans="1:4" x14ac:dyDescent="0.2">
      <c r="A89" s="49" t="s">
        <v>1149</v>
      </c>
      <c r="B89" s="52">
        <v>88</v>
      </c>
      <c r="C89" s="49" t="s">
        <v>1763</v>
      </c>
      <c r="D89" s="52">
        <v>5</v>
      </c>
    </row>
    <row r="90" spans="1:4" x14ac:dyDescent="0.2">
      <c r="A90" s="49" t="s">
        <v>1149</v>
      </c>
      <c r="B90" s="52">
        <v>89</v>
      </c>
      <c r="C90" s="49" t="s">
        <v>1764</v>
      </c>
      <c r="D90" s="52">
        <v>5</v>
      </c>
    </row>
    <row r="91" spans="1:4" x14ac:dyDescent="0.2">
      <c r="A91" s="49" t="s">
        <v>1149</v>
      </c>
      <c r="B91" s="52">
        <v>90</v>
      </c>
      <c r="C91" s="49" t="s">
        <v>1676</v>
      </c>
      <c r="D91" s="52">
        <v>5</v>
      </c>
    </row>
    <row r="92" spans="1:4" x14ac:dyDescent="0.2">
      <c r="A92" s="49" t="s">
        <v>1149</v>
      </c>
      <c r="B92" s="52">
        <v>91</v>
      </c>
      <c r="C92" s="49" t="s">
        <v>1765</v>
      </c>
      <c r="D92" s="52">
        <v>5</v>
      </c>
    </row>
    <row r="93" spans="1:4" x14ac:dyDescent="0.2">
      <c r="A93" s="49" t="s">
        <v>1149</v>
      </c>
      <c r="B93" s="52">
        <v>92</v>
      </c>
      <c r="C93" s="49" t="s">
        <v>1677</v>
      </c>
      <c r="D93" s="52">
        <v>5</v>
      </c>
    </row>
    <row r="94" spans="1:4" x14ac:dyDescent="0.2">
      <c r="A94" s="49" t="s">
        <v>1149</v>
      </c>
      <c r="B94" s="52">
        <v>93</v>
      </c>
      <c r="C94" s="49" t="s">
        <v>1766</v>
      </c>
      <c r="D94" s="52">
        <v>1</v>
      </c>
    </row>
    <row r="95" spans="1:4" x14ac:dyDescent="0.2">
      <c r="A95" s="49" t="s">
        <v>1149</v>
      </c>
      <c r="B95" s="52">
        <v>94</v>
      </c>
      <c r="C95" s="49" t="s">
        <v>1767</v>
      </c>
      <c r="D95" s="52">
        <v>5</v>
      </c>
    </row>
    <row r="96" spans="1:4" x14ac:dyDescent="0.2">
      <c r="A96" s="49" t="s">
        <v>1149</v>
      </c>
      <c r="B96" s="52">
        <v>95</v>
      </c>
      <c r="C96" s="49" t="s">
        <v>1768</v>
      </c>
      <c r="D96" s="52">
        <v>5</v>
      </c>
    </row>
    <row r="97" spans="1:4" x14ac:dyDescent="0.2">
      <c r="A97" s="49" t="s">
        <v>1149</v>
      </c>
      <c r="B97" s="52">
        <v>96</v>
      </c>
      <c r="C97" s="49" t="s">
        <v>1769</v>
      </c>
      <c r="D97" s="52">
        <v>1</v>
      </c>
    </row>
    <row r="98" spans="1:4" x14ac:dyDescent="0.2">
      <c r="A98" s="49" t="s">
        <v>1149</v>
      </c>
      <c r="B98" s="52">
        <v>97</v>
      </c>
      <c r="C98" s="49" t="s">
        <v>1770</v>
      </c>
      <c r="D98" s="52">
        <v>5</v>
      </c>
    </row>
    <row r="99" spans="1:4" x14ac:dyDescent="0.2">
      <c r="A99" s="49" t="s">
        <v>1149</v>
      </c>
      <c r="B99" s="52">
        <v>98</v>
      </c>
      <c r="C99" s="49" t="s">
        <v>1771</v>
      </c>
      <c r="D99" s="52">
        <v>1</v>
      </c>
    </row>
    <row r="100" spans="1:4" x14ac:dyDescent="0.2">
      <c r="A100" s="49" t="s">
        <v>1149</v>
      </c>
      <c r="B100" s="52">
        <v>99</v>
      </c>
      <c r="C100" s="49" t="s">
        <v>1678</v>
      </c>
      <c r="D100" s="52">
        <v>5</v>
      </c>
    </row>
    <row r="101" spans="1:4" x14ac:dyDescent="0.2">
      <c r="A101" s="49" t="s">
        <v>1149</v>
      </c>
      <c r="B101" s="52">
        <v>100</v>
      </c>
      <c r="C101" s="49" t="s">
        <v>1772</v>
      </c>
      <c r="D101" s="52">
        <v>1</v>
      </c>
    </row>
    <row r="102" spans="1:4" x14ac:dyDescent="0.2">
      <c r="A102" s="49" t="s">
        <v>1149</v>
      </c>
      <c r="B102" s="52">
        <v>101</v>
      </c>
      <c r="C102" s="49" t="s">
        <v>1773</v>
      </c>
      <c r="D102" s="52">
        <v>5</v>
      </c>
    </row>
    <row r="103" spans="1:4" x14ac:dyDescent="0.2">
      <c r="A103" s="49" t="s">
        <v>1149</v>
      </c>
      <c r="B103" s="52">
        <v>102</v>
      </c>
      <c r="C103" s="49" t="s">
        <v>1774</v>
      </c>
      <c r="D103" s="52">
        <v>1</v>
      </c>
    </row>
    <row r="104" spans="1:4" x14ac:dyDescent="0.2">
      <c r="A104" s="49" t="s">
        <v>1149</v>
      </c>
      <c r="B104" s="52">
        <v>103</v>
      </c>
      <c r="C104" s="49" t="s">
        <v>1775</v>
      </c>
      <c r="D104" s="52">
        <v>5</v>
      </c>
    </row>
    <row r="105" spans="1:4" x14ac:dyDescent="0.2">
      <c r="A105" s="49" t="s">
        <v>1149</v>
      </c>
      <c r="B105" s="52">
        <v>104</v>
      </c>
      <c r="C105" s="49" t="s">
        <v>1678</v>
      </c>
      <c r="D105" s="52">
        <v>5</v>
      </c>
    </row>
    <row r="106" spans="1:4" x14ac:dyDescent="0.2">
      <c r="A106" s="49" t="s">
        <v>1149</v>
      </c>
      <c r="B106" s="52">
        <v>105</v>
      </c>
      <c r="C106" s="49" t="s">
        <v>1776</v>
      </c>
      <c r="D106" s="52">
        <v>5</v>
      </c>
    </row>
    <row r="107" spans="1:4" x14ac:dyDescent="0.2">
      <c r="A107" s="49" t="s">
        <v>1149</v>
      </c>
      <c r="B107" s="52">
        <v>106</v>
      </c>
      <c r="C107" s="49" t="s">
        <v>1777</v>
      </c>
      <c r="D107" s="52">
        <v>5</v>
      </c>
    </row>
    <row r="108" spans="1:4" x14ac:dyDescent="0.2">
      <c r="A108" s="49" t="s">
        <v>1149</v>
      </c>
      <c r="B108" s="52">
        <v>107</v>
      </c>
      <c r="C108" s="49" t="s">
        <v>1778</v>
      </c>
      <c r="D108" s="52">
        <v>1</v>
      </c>
    </row>
    <row r="109" spans="1:4" x14ac:dyDescent="0.2">
      <c r="A109" s="49" t="s">
        <v>1149</v>
      </c>
      <c r="B109" s="52">
        <v>108</v>
      </c>
      <c r="C109" s="49" t="s">
        <v>1779</v>
      </c>
      <c r="D109" s="52">
        <v>5</v>
      </c>
    </row>
    <row r="110" spans="1:4" x14ac:dyDescent="0.2">
      <c r="A110" s="49" t="s">
        <v>1149</v>
      </c>
      <c r="B110" s="52">
        <v>109</v>
      </c>
      <c r="C110" s="49" t="s">
        <v>1780</v>
      </c>
      <c r="D110" s="52">
        <v>1</v>
      </c>
    </row>
    <row r="111" spans="1:4" x14ac:dyDescent="0.2">
      <c r="A111" s="49" t="s">
        <v>1149</v>
      </c>
      <c r="B111" s="52">
        <v>110</v>
      </c>
      <c r="C111" s="49" t="s">
        <v>1781</v>
      </c>
      <c r="D111" s="52">
        <v>5</v>
      </c>
    </row>
    <row r="112" spans="1:4" x14ac:dyDescent="0.2">
      <c r="A112" s="49" t="s">
        <v>1149</v>
      </c>
      <c r="B112" s="52">
        <v>111</v>
      </c>
      <c r="C112" s="49" t="s">
        <v>1782</v>
      </c>
      <c r="D112" s="52">
        <v>1</v>
      </c>
    </row>
    <row r="113" spans="1:4" x14ac:dyDescent="0.2">
      <c r="A113" s="49" t="s">
        <v>1149</v>
      </c>
      <c r="B113" s="52">
        <v>112</v>
      </c>
      <c r="C113" s="49" t="s">
        <v>1783</v>
      </c>
      <c r="D113" s="52">
        <v>1</v>
      </c>
    </row>
    <row r="114" spans="1:4" x14ac:dyDescent="0.2">
      <c r="A114" s="49" t="s">
        <v>1149</v>
      </c>
      <c r="B114" s="52">
        <v>113</v>
      </c>
      <c r="C114" s="49" t="s">
        <v>1784</v>
      </c>
      <c r="D114" s="52">
        <v>5</v>
      </c>
    </row>
    <row r="115" spans="1:4" x14ac:dyDescent="0.2">
      <c r="A115" s="49" t="s">
        <v>1149</v>
      </c>
      <c r="B115" s="52">
        <v>114</v>
      </c>
      <c r="C115" s="49" t="s">
        <v>1785</v>
      </c>
      <c r="D115" s="52">
        <v>1</v>
      </c>
    </row>
    <row r="116" spans="1:4" x14ac:dyDescent="0.2">
      <c r="A116" s="49" t="s">
        <v>1149</v>
      </c>
      <c r="B116" s="52">
        <v>115</v>
      </c>
      <c r="C116" s="49" t="s">
        <v>1786</v>
      </c>
      <c r="D116" s="52">
        <v>1</v>
      </c>
    </row>
    <row r="117" spans="1:4" x14ac:dyDescent="0.2">
      <c r="A117" s="49" t="s">
        <v>1149</v>
      </c>
      <c r="B117" s="52">
        <v>116</v>
      </c>
      <c r="C117" s="49" t="s">
        <v>1787</v>
      </c>
      <c r="D117" s="52">
        <v>1</v>
      </c>
    </row>
    <row r="118" spans="1:4" x14ac:dyDescent="0.2">
      <c r="A118" s="49" t="s">
        <v>1149</v>
      </c>
      <c r="B118" s="52">
        <v>117</v>
      </c>
      <c r="C118" s="49" t="s">
        <v>1679</v>
      </c>
      <c r="D118" s="52">
        <v>5</v>
      </c>
    </row>
    <row r="119" spans="1:4" x14ac:dyDescent="0.2">
      <c r="A119" s="49" t="s">
        <v>1149</v>
      </c>
      <c r="B119" s="52">
        <v>118</v>
      </c>
      <c r="C119" s="49" t="s">
        <v>1788</v>
      </c>
      <c r="D119" s="52">
        <v>5</v>
      </c>
    </row>
    <row r="120" spans="1:4" x14ac:dyDescent="0.2">
      <c r="A120" s="49" t="s">
        <v>1149</v>
      </c>
      <c r="B120" s="52">
        <v>119</v>
      </c>
      <c r="C120" s="49" t="s">
        <v>1789</v>
      </c>
      <c r="D120" s="52">
        <v>5</v>
      </c>
    </row>
    <row r="121" spans="1:4" x14ac:dyDescent="0.2">
      <c r="A121" s="49" t="s">
        <v>1149</v>
      </c>
      <c r="B121" s="52">
        <v>120</v>
      </c>
      <c r="C121" s="49" t="s">
        <v>1790</v>
      </c>
      <c r="D121" s="52">
        <v>5</v>
      </c>
    </row>
    <row r="122" spans="1:4" x14ac:dyDescent="0.2">
      <c r="A122" s="49" t="s">
        <v>1149</v>
      </c>
      <c r="B122" s="52">
        <v>121</v>
      </c>
      <c r="C122" s="49" t="s">
        <v>1791</v>
      </c>
      <c r="D122" s="52">
        <v>5</v>
      </c>
    </row>
    <row r="123" spans="1:4" x14ac:dyDescent="0.2">
      <c r="A123" s="49" t="s">
        <v>1149</v>
      </c>
      <c r="B123" s="52">
        <v>122</v>
      </c>
      <c r="C123" s="49" t="s">
        <v>1680</v>
      </c>
      <c r="D123" s="52">
        <v>5</v>
      </c>
    </row>
    <row r="124" spans="1:4" x14ac:dyDescent="0.2">
      <c r="A124" s="49" t="s">
        <v>1149</v>
      </c>
      <c r="B124" s="52">
        <v>123</v>
      </c>
      <c r="C124" s="49" t="s">
        <v>1792</v>
      </c>
      <c r="D124" s="52">
        <v>5</v>
      </c>
    </row>
    <row r="125" spans="1:4" x14ac:dyDescent="0.2">
      <c r="A125" s="49" t="s">
        <v>1149</v>
      </c>
      <c r="B125" s="52">
        <v>124</v>
      </c>
      <c r="C125" s="49" t="s">
        <v>1793</v>
      </c>
      <c r="D125" s="52">
        <v>5</v>
      </c>
    </row>
    <row r="126" spans="1:4" x14ac:dyDescent="0.2">
      <c r="A126" s="49" t="s">
        <v>1149</v>
      </c>
      <c r="B126" s="52">
        <v>125</v>
      </c>
      <c r="C126" s="49" t="s">
        <v>1794</v>
      </c>
      <c r="D126" s="52">
        <v>5</v>
      </c>
    </row>
    <row r="127" spans="1:4" x14ac:dyDescent="0.2">
      <c r="A127" s="49" t="s">
        <v>1149</v>
      </c>
      <c r="B127" s="52">
        <v>126</v>
      </c>
      <c r="C127" s="49" t="s">
        <v>1795</v>
      </c>
      <c r="D127" s="52">
        <v>5</v>
      </c>
    </row>
    <row r="128" spans="1:4" x14ac:dyDescent="0.2">
      <c r="A128" s="49" t="s">
        <v>1149</v>
      </c>
      <c r="B128" s="52">
        <v>127</v>
      </c>
      <c r="C128" s="49" t="s">
        <v>1796</v>
      </c>
      <c r="D128" s="52">
        <v>1</v>
      </c>
    </row>
    <row r="129" spans="1:4" x14ac:dyDescent="0.2">
      <c r="A129" s="49" t="s">
        <v>1149</v>
      </c>
      <c r="B129" s="52">
        <v>128</v>
      </c>
      <c r="C129" s="49" t="s">
        <v>1797</v>
      </c>
      <c r="D129" s="52">
        <v>5</v>
      </c>
    </row>
    <row r="130" spans="1:4" x14ac:dyDescent="0.2">
      <c r="A130" s="49" t="s">
        <v>1149</v>
      </c>
      <c r="B130" s="52">
        <v>129</v>
      </c>
      <c r="C130" s="49" t="s">
        <v>1798</v>
      </c>
      <c r="D130" s="52">
        <v>5</v>
      </c>
    </row>
    <row r="131" spans="1:4" x14ac:dyDescent="0.2">
      <c r="A131" s="49" t="s">
        <v>1149</v>
      </c>
      <c r="B131" s="52">
        <v>130</v>
      </c>
      <c r="C131" s="49" t="s">
        <v>1681</v>
      </c>
      <c r="D131" s="52">
        <v>5</v>
      </c>
    </row>
    <row r="132" spans="1:4" x14ac:dyDescent="0.2">
      <c r="A132" s="49" t="s">
        <v>1149</v>
      </c>
      <c r="B132" s="52">
        <v>131</v>
      </c>
      <c r="C132" s="49" t="s">
        <v>1799</v>
      </c>
      <c r="D132" s="52">
        <v>1</v>
      </c>
    </row>
    <row r="133" spans="1:4" x14ac:dyDescent="0.2">
      <c r="A133" s="49" t="s">
        <v>1149</v>
      </c>
      <c r="B133" s="52">
        <v>132</v>
      </c>
      <c r="C133" s="49" t="s">
        <v>1800</v>
      </c>
      <c r="D133" s="52">
        <v>5</v>
      </c>
    </row>
    <row r="134" spans="1:4" x14ac:dyDescent="0.2">
      <c r="A134" s="49" t="s">
        <v>1149</v>
      </c>
      <c r="B134" s="52">
        <v>133</v>
      </c>
      <c r="C134" s="49" t="s">
        <v>1801</v>
      </c>
      <c r="D134" s="52">
        <v>5</v>
      </c>
    </row>
    <row r="135" spans="1:4" x14ac:dyDescent="0.2">
      <c r="A135" s="49" t="s">
        <v>1149</v>
      </c>
      <c r="B135" s="52">
        <v>134</v>
      </c>
      <c r="C135" s="49" t="s">
        <v>1802</v>
      </c>
      <c r="D135" s="52">
        <v>5</v>
      </c>
    </row>
    <row r="136" spans="1:4" x14ac:dyDescent="0.2">
      <c r="A136" s="49" t="s">
        <v>1149</v>
      </c>
      <c r="B136" s="52">
        <v>135</v>
      </c>
      <c r="C136" s="49" t="s">
        <v>1803</v>
      </c>
      <c r="D136" s="52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87C3-F07B-4F9D-93C7-6D2AB361FB5A}">
  <dimension ref="A2:AF202"/>
  <sheetViews>
    <sheetView topLeftCell="B1" zoomScale="60" zoomScaleNormal="60" workbookViewId="0">
      <selection activeCell="Z5" sqref="Z5:Z202"/>
    </sheetView>
  </sheetViews>
  <sheetFormatPr defaultColWidth="10.76171875" defaultRowHeight="15" x14ac:dyDescent="0.2"/>
  <cols>
    <col min="1" max="1" width="2.6875" style="5" customWidth="1"/>
    <col min="2" max="2" width="59.1875" style="5" customWidth="1"/>
    <col min="3" max="3" width="12.64453125" style="5" customWidth="1"/>
    <col min="4" max="4" width="11.97265625" style="5"/>
    <col min="5" max="5" width="9.28125" style="5" customWidth="1"/>
    <col min="6" max="6" width="5.6484375" style="5" customWidth="1"/>
    <col min="7" max="7" width="4.83984375" style="5" customWidth="1"/>
    <col min="8" max="8" width="9.28125" style="5" customWidth="1"/>
    <col min="9" max="9" width="5.6484375" style="5" customWidth="1"/>
    <col min="10" max="10" width="4.83984375" style="5" customWidth="1"/>
    <col min="11" max="11" width="9.28125" style="5" customWidth="1"/>
    <col min="12" max="12" width="5.6484375" style="5" customWidth="1"/>
    <col min="13" max="13" width="4.83984375" style="5" customWidth="1"/>
    <col min="14" max="14" width="9.28125" style="5" customWidth="1"/>
    <col min="15" max="15" width="5.6484375" style="5" customWidth="1"/>
    <col min="16" max="16" width="4.83984375" style="5" customWidth="1"/>
    <col min="17" max="17" width="9.28125" style="5" customWidth="1"/>
    <col min="18" max="18" width="5.6484375" style="5" customWidth="1"/>
    <col min="19" max="19" width="4.83984375" style="5" customWidth="1"/>
    <col min="20" max="20" width="11.43359375" style="5" customWidth="1"/>
    <col min="21" max="21" width="6.72265625" style="5" customWidth="1"/>
    <col min="22" max="22" width="4.83984375" style="5" customWidth="1"/>
    <col min="23" max="23" width="9.14453125" style="13" customWidth="1"/>
    <col min="24" max="25" width="9.953125" style="14" customWidth="1"/>
    <col min="26" max="26" width="11.02734375" style="15" customWidth="1"/>
    <col min="27" max="28" width="9.4140625" style="5" customWidth="1"/>
    <col min="29" max="29" width="13.1796875" style="5" customWidth="1"/>
    <col min="30" max="30" width="7.80078125" style="5" customWidth="1"/>
    <col min="31" max="31" width="15.46875" style="5" customWidth="1"/>
    <col min="32" max="32" width="13.5859375" style="5" customWidth="1"/>
  </cols>
  <sheetData>
    <row r="2" spans="1:32" x14ac:dyDescent="0.2">
      <c r="B2" s="1" t="s">
        <v>255</v>
      </c>
    </row>
    <row r="3" spans="1:32" x14ac:dyDescent="0.2">
      <c r="A3" s="16"/>
      <c r="B3" s="16"/>
      <c r="C3" s="16"/>
      <c r="D3" s="16"/>
      <c r="E3" s="17">
        <v>3</v>
      </c>
      <c r="F3" s="18">
        <f>+$X$3*E3</f>
        <v>21.428571428571431</v>
      </c>
      <c r="G3" s="19">
        <v>0.21429999999999999</v>
      </c>
      <c r="H3" s="20">
        <v>3</v>
      </c>
      <c r="I3" s="18">
        <f>+$X$3*H3</f>
        <v>21.428571428571431</v>
      </c>
      <c r="J3" s="19">
        <v>0.21429999999999999</v>
      </c>
      <c r="K3" s="20">
        <v>3</v>
      </c>
      <c r="L3" s="18">
        <f>+$X$3*K3</f>
        <v>21.428571428571431</v>
      </c>
      <c r="M3" s="19">
        <v>0.21429999999999999</v>
      </c>
      <c r="N3" s="20">
        <v>1</v>
      </c>
      <c r="O3" s="18">
        <f>+$X$3*N3</f>
        <v>7.1428571428571432</v>
      </c>
      <c r="P3" s="19">
        <v>7.1400000000000005E-2</v>
      </c>
      <c r="Q3" s="20">
        <v>2</v>
      </c>
      <c r="R3" s="18">
        <f>+$X$3*Q3</f>
        <v>14.285714285714286</v>
      </c>
      <c r="S3" s="19">
        <v>0.1429</v>
      </c>
      <c r="T3" s="20">
        <v>2</v>
      </c>
      <c r="U3" s="18">
        <f>+$X$3*T3</f>
        <v>14.285714285714286</v>
      </c>
      <c r="V3" s="19">
        <v>0.1429</v>
      </c>
      <c r="W3" s="21"/>
      <c r="X3" s="22">
        <f>100/14</f>
        <v>7.1428571428571432</v>
      </c>
      <c r="Y3" s="23">
        <f>+G3+J3+M3+P3+S3+V3</f>
        <v>1.0001</v>
      </c>
      <c r="Z3" s="24"/>
      <c r="AA3" s="16"/>
      <c r="AB3" s="16"/>
      <c r="AC3" s="16"/>
      <c r="AD3" s="16"/>
      <c r="AE3" s="16"/>
      <c r="AF3" s="16"/>
    </row>
    <row r="4" spans="1:32" ht="27.75" x14ac:dyDescent="0.2">
      <c r="B4" s="25" t="s">
        <v>256</v>
      </c>
      <c r="C4" s="25" t="s">
        <v>257</v>
      </c>
      <c r="D4" s="25" t="s">
        <v>258</v>
      </c>
      <c r="E4" s="73" t="s">
        <v>259</v>
      </c>
      <c r="F4" s="73"/>
      <c r="G4" s="73"/>
      <c r="H4" s="73" t="s">
        <v>260</v>
      </c>
      <c r="I4" s="73"/>
      <c r="J4" s="73"/>
      <c r="K4" s="73" t="s">
        <v>261</v>
      </c>
      <c r="L4" s="73"/>
      <c r="M4" s="73"/>
      <c r="N4" s="73" t="s">
        <v>262</v>
      </c>
      <c r="O4" s="73"/>
      <c r="P4" s="73"/>
      <c r="Q4" s="73" t="s">
        <v>263</v>
      </c>
      <c r="R4" s="73"/>
      <c r="S4" s="73"/>
      <c r="T4" s="73" t="s">
        <v>264</v>
      </c>
      <c r="U4" s="73"/>
      <c r="V4" s="73"/>
      <c r="W4" s="26" t="s">
        <v>265</v>
      </c>
      <c r="X4" s="26" t="s">
        <v>266</v>
      </c>
      <c r="Y4" s="26" t="s">
        <v>267</v>
      </c>
      <c r="Z4" s="26" t="s">
        <v>268</v>
      </c>
      <c r="AB4" s="27" t="s">
        <v>269</v>
      </c>
      <c r="AC4" s="27" t="s">
        <v>270</v>
      </c>
      <c r="AE4" s="27" t="s">
        <v>271</v>
      </c>
      <c r="AF4" s="27" t="s">
        <v>270</v>
      </c>
    </row>
    <row r="5" spans="1:32" x14ac:dyDescent="0.2">
      <c r="B5" s="28" t="s">
        <v>272</v>
      </c>
      <c r="C5" s="28" t="s">
        <v>273</v>
      </c>
      <c r="D5" s="28" t="s">
        <v>274</v>
      </c>
      <c r="E5" s="28" t="str">
        <f>+_xlfn.XLOOKUP(D5,[1]Regiones!$B$4:$B$31,[1]Regiones!$G$4:$G$31)</f>
        <v>High</v>
      </c>
      <c r="F5" s="29">
        <f t="shared" ref="F5:F68" si="0">+_xlfn.XLOOKUP(E5,$AB$4:$AB$7,$AC$4:$AC$7)</f>
        <v>3</v>
      </c>
      <c r="G5" s="28">
        <f>+F5*$G$3</f>
        <v>0.64290000000000003</v>
      </c>
      <c r="H5" s="28" t="s">
        <v>275</v>
      </c>
      <c r="I5" s="28">
        <f>+_xlfn.XLOOKUP(H5,$AB$4:$AB$7,$AC$4:$AC$7)</f>
        <v>1</v>
      </c>
      <c r="J5" s="28">
        <f>+I5*$J$3</f>
        <v>0.21429999999999999</v>
      </c>
      <c r="K5" s="28" t="s">
        <v>275</v>
      </c>
      <c r="L5" s="28">
        <f>+_xlfn.XLOOKUP(K5,$AB$4:$AB$7,$AC$4:$AC$7)</f>
        <v>1</v>
      </c>
      <c r="M5" s="28">
        <f>+L5*$M$3</f>
        <v>0.21429999999999999</v>
      </c>
      <c r="N5" s="28" t="s">
        <v>275</v>
      </c>
      <c r="O5" s="28">
        <f t="shared" ref="O5:O68" si="1">+_xlfn.XLOOKUP(N5,$AB$4:$AB$7,$AC$4:$AC$7)</f>
        <v>1</v>
      </c>
      <c r="P5" s="28">
        <f>+O5*$P$3</f>
        <v>7.1400000000000005E-2</v>
      </c>
      <c r="Q5" s="28" t="s">
        <v>275</v>
      </c>
      <c r="R5" s="28">
        <f t="shared" ref="R5:R68" si="2">+_xlfn.XLOOKUP(Q5,$AB$4:$AB$7,$AC$4:$AC$7)</f>
        <v>1</v>
      </c>
      <c r="S5" s="28">
        <f>+R5*$S$3</f>
        <v>0.1429</v>
      </c>
      <c r="T5" s="28" t="s">
        <v>276</v>
      </c>
      <c r="U5" s="28">
        <v>1</v>
      </c>
      <c r="V5" s="28">
        <f>+U5*$V$3</f>
        <v>0.1429</v>
      </c>
      <c r="W5" s="30">
        <f>+G5+J5+M5+P5+S5+V5</f>
        <v>1.4286999999999999</v>
      </c>
      <c r="X5" s="31">
        <f>+AVERAGE(W5)</f>
        <v>1.4286999999999999</v>
      </c>
      <c r="Y5" s="31">
        <v>1</v>
      </c>
      <c r="Z5" s="32" t="str">
        <f>+_xlfn.XLOOKUP(Y5,$AC$4:$AC$7,$AB$4:$AB$7)</f>
        <v>Low</v>
      </c>
      <c r="AB5" s="33" t="s">
        <v>275</v>
      </c>
      <c r="AC5" s="34">
        <v>1</v>
      </c>
      <c r="AD5" s="35">
        <f>+P3</f>
        <v>7.1400000000000005E-2</v>
      </c>
      <c r="AE5" s="33" t="s">
        <v>259</v>
      </c>
      <c r="AF5" s="36">
        <f>+G3</f>
        <v>0.21429999999999999</v>
      </c>
    </row>
    <row r="6" spans="1:32" x14ac:dyDescent="0.2">
      <c r="B6" s="28" t="s">
        <v>277</v>
      </c>
      <c r="C6" s="28" t="s">
        <v>278</v>
      </c>
      <c r="D6" s="28" t="s">
        <v>274</v>
      </c>
      <c r="E6" s="28" t="str">
        <f>+_xlfn.XLOOKUP(D6,[1]Regiones!$B$4:$B$31,[1]Regiones!$G$4:$G$31)</f>
        <v>High</v>
      </c>
      <c r="F6" s="29">
        <f t="shared" si="0"/>
        <v>3</v>
      </c>
      <c r="G6" s="28">
        <f t="shared" ref="G6:G69" si="3">+F6*$G$3</f>
        <v>0.64290000000000003</v>
      </c>
      <c r="H6" s="28" t="s">
        <v>275</v>
      </c>
      <c r="I6" s="28">
        <f t="shared" ref="I6:I69" si="4">+_xlfn.XLOOKUP(H6,$AB$4:$AB$7,$AC$4:$AC$7)</f>
        <v>1</v>
      </c>
      <c r="J6" s="28">
        <f t="shared" ref="J6:J69" si="5">+I6*$J$3</f>
        <v>0.21429999999999999</v>
      </c>
      <c r="K6" s="28" t="s">
        <v>275</v>
      </c>
      <c r="L6" s="28">
        <f t="shared" ref="L6:L69" si="6">+_xlfn.XLOOKUP(K6,$AB$4:$AB$7,$AC$4:$AC$7)</f>
        <v>1</v>
      </c>
      <c r="M6" s="28">
        <f t="shared" ref="M6:M69" si="7">+L6*$M$3</f>
        <v>0.21429999999999999</v>
      </c>
      <c r="N6" s="28" t="s">
        <v>279</v>
      </c>
      <c r="O6" s="28">
        <f t="shared" si="1"/>
        <v>3</v>
      </c>
      <c r="P6" s="28">
        <f t="shared" ref="P6:P69" si="8">+O6*$P$3</f>
        <v>0.2142</v>
      </c>
      <c r="Q6" s="28" t="s">
        <v>279</v>
      </c>
      <c r="R6" s="28">
        <f t="shared" si="2"/>
        <v>3</v>
      </c>
      <c r="S6" s="28">
        <f t="shared" ref="S6:S69" si="9">+R6*$S$3</f>
        <v>0.42869999999999997</v>
      </c>
      <c r="T6" s="28" t="s">
        <v>280</v>
      </c>
      <c r="U6" s="28">
        <v>3</v>
      </c>
      <c r="V6" s="28">
        <f t="shared" ref="V6:V69" si="10">+U6*$V$3</f>
        <v>0.42869999999999997</v>
      </c>
      <c r="W6" s="30">
        <f t="shared" ref="W6:W69" si="11">+G6+J6+M6+P6+S6+V6</f>
        <v>2.1431</v>
      </c>
      <c r="X6" s="31">
        <f>+AVERAGE(W6)</f>
        <v>2.1431</v>
      </c>
      <c r="Y6" s="31">
        <v>2</v>
      </c>
      <c r="Z6" s="32" t="str">
        <f t="shared" ref="Z6:Z69" si="12">+_xlfn.XLOOKUP(Y6,$AC$4:$AC$7,$AB$4:$AB$7)</f>
        <v>Medium</v>
      </c>
      <c r="AB6" s="33" t="s">
        <v>281</v>
      </c>
      <c r="AC6" s="34">
        <v>2</v>
      </c>
      <c r="AD6" s="35">
        <f>+AC6*S3</f>
        <v>0.2858</v>
      </c>
      <c r="AE6" s="33" t="s">
        <v>260</v>
      </c>
      <c r="AF6" s="36">
        <f>+J3</f>
        <v>0.21429999999999999</v>
      </c>
    </row>
    <row r="7" spans="1:32" x14ac:dyDescent="0.2">
      <c r="B7" s="28" t="s">
        <v>282</v>
      </c>
      <c r="C7" s="28" t="s">
        <v>283</v>
      </c>
      <c r="D7" s="28" t="s">
        <v>274</v>
      </c>
      <c r="E7" s="28" t="str">
        <f>+_xlfn.XLOOKUP(D7,[1]Regiones!$B$4:$B$31,[1]Regiones!$G$4:$G$31)</f>
        <v>High</v>
      </c>
      <c r="F7" s="29">
        <f t="shared" si="0"/>
        <v>3</v>
      </c>
      <c r="G7" s="28">
        <f t="shared" si="3"/>
        <v>0.64290000000000003</v>
      </c>
      <c r="H7" s="28" t="s">
        <v>275</v>
      </c>
      <c r="I7" s="28">
        <f t="shared" si="4"/>
        <v>1</v>
      </c>
      <c r="J7" s="28">
        <f t="shared" si="5"/>
        <v>0.21429999999999999</v>
      </c>
      <c r="K7" s="28" t="s">
        <v>275</v>
      </c>
      <c r="L7" s="28">
        <f t="shared" si="6"/>
        <v>1</v>
      </c>
      <c r="M7" s="28">
        <f t="shared" si="7"/>
        <v>0.21429999999999999</v>
      </c>
      <c r="N7" s="28" t="s">
        <v>275</v>
      </c>
      <c r="O7" s="28">
        <f t="shared" si="1"/>
        <v>1</v>
      </c>
      <c r="P7" s="28">
        <f t="shared" si="8"/>
        <v>7.1400000000000005E-2</v>
      </c>
      <c r="Q7" s="28" t="s">
        <v>275</v>
      </c>
      <c r="R7" s="28">
        <f t="shared" si="2"/>
        <v>1</v>
      </c>
      <c r="S7" s="28">
        <f t="shared" si="9"/>
        <v>0.1429</v>
      </c>
      <c r="T7" s="28" t="s">
        <v>276</v>
      </c>
      <c r="U7" s="28">
        <v>1</v>
      </c>
      <c r="V7" s="28">
        <f t="shared" si="10"/>
        <v>0.1429</v>
      </c>
      <c r="W7" s="30">
        <f t="shared" si="11"/>
        <v>1.4286999999999999</v>
      </c>
      <c r="X7" s="31">
        <f t="shared" ref="X7:X70" si="13">+AVERAGE(W7)</f>
        <v>1.4286999999999999</v>
      </c>
      <c r="Y7" s="31">
        <v>1</v>
      </c>
      <c r="Z7" s="32" t="str">
        <f t="shared" si="12"/>
        <v>Low</v>
      </c>
      <c r="AB7" s="33" t="s">
        <v>279</v>
      </c>
      <c r="AC7" s="34">
        <v>3</v>
      </c>
      <c r="AD7" s="35">
        <f>+AC7*G3</f>
        <v>0.64290000000000003</v>
      </c>
      <c r="AE7" s="33" t="s">
        <v>284</v>
      </c>
      <c r="AF7" s="36">
        <f>+M3</f>
        <v>0.21429999999999999</v>
      </c>
    </row>
    <row r="8" spans="1:32" x14ac:dyDescent="0.2">
      <c r="B8" s="28" t="s">
        <v>285</v>
      </c>
      <c r="C8" s="28" t="s">
        <v>286</v>
      </c>
      <c r="D8" s="28" t="s">
        <v>274</v>
      </c>
      <c r="E8" s="28" t="str">
        <f>+_xlfn.XLOOKUP(D8,[1]Regiones!$B$4:$B$31,[1]Regiones!$G$4:$G$31)</f>
        <v>High</v>
      </c>
      <c r="F8" s="29">
        <f t="shared" si="0"/>
        <v>3</v>
      </c>
      <c r="G8" s="28">
        <f t="shared" si="3"/>
        <v>0.64290000000000003</v>
      </c>
      <c r="H8" s="28" t="s">
        <v>275</v>
      </c>
      <c r="I8" s="28">
        <f t="shared" si="4"/>
        <v>1</v>
      </c>
      <c r="J8" s="28">
        <f t="shared" si="5"/>
        <v>0.21429999999999999</v>
      </c>
      <c r="K8" s="28" t="s">
        <v>275</v>
      </c>
      <c r="L8" s="28">
        <f t="shared" si="6"/>
        <v>1</v>
      </c>
      <c r="M8" s="28">
        <f t="shared" si="7"/>
        <v>0.21429999999999999</v>
      </c>
      <c r="N8" s="28" t="s">
        <v>275</v>
      </c>
      <c r="O8" s="28">
        <f t="shared" si="1"/>
        <v>1</v>
      </c>
      <c r="P8" s="28">
        <f t="shared" si="8"/>
        <v>7.1400000000000005E-2</v>
      </c>
      <c r="Q8" s="28" t="s">
        <v>275</v>
      </c>
      <c r="R8" s="28">
        <f t="shared" si="2"/>
        <v>1</v>
      </c>
      <c r="S8" s="28">
        <f t="shared" si="9"/>
        <v>0.1429</v>
      </c>
      <c r="T8" s="28" t="s">
        <v>276</v>
      </c>
      <c r="U8" s="28">
        <v>1</v>
      </c>
      <c r="V8" s="28">
        <f t="shared" si="10"/>
        <v>0.1429</v>
      </c>
      <c r="W8" s="30">
        <f t="shared" si="11"/>
        <v>1.4286999999999999</v>
      </c>
      <c r="X8" s="31">
        <f t="shared" si="13"/>
        <v>1.4286999999999999</v>
      </c>
      <c r="Y8" s="31">
        <v>1</v>
      </c>
      <c r="Z8" s="32" t="str">
        <f t="shared" si="12"/>
        <v>Low</v>
      </c>
      <c r="AD8" s="37">
        <f>+SUM(AD5:AD7)</f>
        <v>1.0001</v>
      </c>
      <c r="AE8" s="33" t="s">
        <v>262</v>
      </c>
      <c r="AF8" s="36">
        <f>+P3</f>
        <v>7.1400000000000005E-2</v>
      </c>
    </row>
    <row r="9" spans="1:32" x14ac:dyDescent="0.2">
      <c r="B9" s="28" t="s">
        <v>287</v>
      </c>
      <c r="C9" s="28" t="s">
        <v>288</v>
      </c>
      <c r="D9" s="28" t="s">
        <v>274</v>
      </c>
      <c r="E9" s="28" t="str">
        <f>+_xlfn.XLOOKUP(D9,[1]Regiones!$B$4:$B$31,[1]Regiones!$G$4:$G$31)</f>
        <v>High</v>
      </c>
      <c r="F9" s="29">
        <f t="shared" si="0"/>
        <v>3</v>
      </c>
      <c r="G9" s="28">
        <f t="shared" si="3"/>
        <v>0.64290000000000003</v>
      </c>
      <c r="H9" s="28" t="s">
        <v>275</v>
      </c>
      <c r="I9" s="28">
        <f t="shared" si="4"/>
        <v>1</v>
      </c>
      <c r="J9" s="28">
        <f t="shared" si="5"/>
        <v>0.21429999999999999</v>
      </c>
      <c r="K9" s="28" t="s">
        <v>275</v>
      </c>
      <c r="L9" s="28">
        <f t="shared" si="6"/>
        <v>1</v>
      </c>
      <c r="M9" s="28">
        <f t="shared" si="7"/>
        <v>0.21429999999999999</v>
      </c>
      <c r="N9" s="28" t="s">
        <v>275</v>
      </c>
      <c r="O9" s="28">
        <f t="shared" si="1"/>
        <v>1</v>
      </c>
      <c r="P9" s="28">
        <f t="shared" si="8"/>
        <v>7.1400000000000005E-2</v>
      </c>
      <c r="Q9" s="28" t="s">
        <v>275</v>
      </c>
      <c r="R9" s="28">
        <f t="shared" si="2"/>
        <v>1</v>
      </c>
      <c r="S9" s="28">
        <f t="shared" si="9"/>
        <v>0.1429</v>
      </c>
      <c r="T9" s="28" t="s">
        <v>276</v>
      </c>
      <c r="U9" s="28">
        <v>1</v>
      </c>
      <c r="V9" s="28">
        <f t="shared" si="10"/>
        <v>0.1429</v>
      </c>
      <c r="W9" s="30">
        <f t="shared" si="11"/>
        <v>1.4286999999999999</v>
      </c>
      <c r="X9" s="31">
        <f t="shared" si="13"/>
        <v>1.4286999999999999</v>
      </c>
      <c r="Y9" s="31">
        <v>1</v>
      </c>
      <c r="Z9" s="32" t="str">
        <f t="shared" si="12"/>
        <v>Low</v>
      </c>
      <c r="AE9" s="33" t="s">
        <v>263</v>
      </c>
      <c r="AF9" s="36">
        <f>+S3</f>
        <v>0.1429</v>
      </c>
    </row>
    <row r="10" spans="1:32" x14ac:dyDescent="0.2">
      <c r="B10" s="28" t="s">
        <v>289</v>
      </c>
      <c r="C10" s="28" t="s">
        <v>290</v>
      </c>
      <c r="D10" s="28" t="s">
        <v>274</v>
      </c>
      <c r="E10" s="28" t="str">
        <f>+_xlfn.XLOOKUP(D10,[1]Regiones!$B$4:$B$31,[1]Regiones!$G$4:$G$31)</f>
        <v>High</v>
      </c>
      <c r="F10" s="29">
        <f t="shared" si="0"/>
        <v>3</v>
      </c>
      <c r="G10" s="28">
        <f t="shared" si="3"/>
        <v>0.64290000000000003</v>
      </c>
      <c r="H10" s="28" t="s">
        <v>275</v>
      </c>
      <c r="I10" s="28">
        <f t="shared" si="4"/>
        <v>1</v>
      </c>
      <c r="J10" s="28">
        <f t="shared" si="5"/>
        <v>0.21429999999999999</v>
      </c>
      <c r="K10" s="28" t="s">
        <v>275</v>
      </c>
      <c r="L10" s="28">
        <f t="shared" si="6"/>
        <v>1</v>
      </c>
      <c r="M10" s="28">
        <f t="shared" si="7"/>
        <v>0.21429999999999999</v>
      </c>
      <c r="N10" s="28" t="s">
        <v>279</v>
      </c>
      <c r="O10" s="28">
        <f t="shared" si="1"/>
        <v>3</v>
      </c>
      <c r="P10" s="28">
        <f t="shared" si="8"/>
        <v>0.2142</v>
      </c>
      <c r="Q10" s="28" t="s">
        <v>275</v>
      </c>
      <c r="R10" s="28">
        <f t="shared" si="2"/>
        <v>1</v>
      </c>
      <c r="S10" s="28">
        <f t="shared" si="9"/>
        <v>0.1429</v>
      </c>
      <c r="T10" s="28" t="s">
        <v>276</v>
      </c>
      <c r="U10" s="28">
        <v>1</v>
      </c>
      <c r="V10" s="28">
        <f t="shared" si="10"/>
        <v>0.1429</v>
      </c>
      <c r="W10" s="30">
        <f t="shared" si="11"/>
        <v>1.5714999999999999</v>
      </c>
      <c r="X10" s="31">
        <f t="shared" si="13"/>
        <v>1.5714999999999999</v>
      </c>
      <c r="Y10" s="31">
        <v>2</v>
      </c>
      <c r="Z10" s="32" t="str">
        <f t="shared" si="12"/>
        <v>Medium</v>
      </c>
      <c r="AE10" s="33" t="s">
        <v>264</v>
      </c>
      <c r="AF10" s="36">
        <f>+V3</f>
        <v>0.1429</v>
      </c>
    </row>
    <row r="11" spans="1:32" x14ac:dyDescent="0.2">
      <c r="B11" s="28" t="s">
        <v>291</v>
      </c>
      <c r="C11" s="28" t="s">
        <v>292</v>
      </c>
      <c r="D11" s="28" t="s">
        <v>293</v>
      </c>
      <c r="E11" s="28" t="str">
        <f>+_xlfn.XLOOKUP(D11,[1]Regiones!$B$4:$B$31,[1]Regiones!$G$4:$G$31)</f>
        <v>High</v>
      </c>
      <c r="F11" s="29">
        <f t="shared" si="0"/>
        <v>3</v>
      </c>
      <c r="G11" s="28">
        <f t="shared" si="3"/>
        <v>0.64290000000000003</v>
      </c>
      <c r="H11" s="28" t="s">
        <v>275</v>
      </c>
      <c r="I11" s="28">
        <f t="shared" si="4"/>
        <v>1</v>
      </c>
      <c r="J11" s="28">
        <f t="shared" si="5"/>
        <v>0.21429999999999999</v>
      </c>
      <c r="K11" s="28" t="s">
        <v>275</v>
      </c>
      <c r="L11" s="28">
        <f t="shared" si="6"/>
        <v>1</v>
      </c>
      <c r="M11" s="28">
        <f t="shared" si="7"/>
        <v>0.21429999999999999</v>
      </c>
      <c r="N11" s="28" t="s">
        <v>275</v>
      </c>
      <c r="O11" s="28">
        <f t="shared" si="1"/>
        <v>1</v>
      </c>
      <c r="P11" s="28">
        <f t="shared" si="8"/>
        <v>7.1400000000000005E-2</v>
      </c>
      <c r="Q11" s="28" t="s">
        <v>275</v>
      </c>
      <c r="R11" s="28">
        <f t="shared" si="2"/>
        <v>1</v>
      </c>
      <c r="S11" s="28">
        <f t="shared" si="9"/>
        <v>0.1429</v>
      </c>
      <c r="T11" s="28" t="s">
        <v>276</v>
      </c>
      <c r="U11" s="28">
        <v>1</v>
      </c>
      <c r="V11" s="28">
        <f t="shared" si="10"/>
        <v>0.1429</v>
      </c>
      <c r="W11" s="30">
        <f t="shared" si="11"/>
        <v>1.4286999999999999</v>
      </c>
      <c r="X11" s="31">
        <f t="shared" si="13"/>
        <v>1.4286999999999999</v>
      </c>
      <c r="Y11" s="31">
        <v>1</v>
      </c>
      <c r="Z11" s="32" t="str">
        <f t="shared" si="12"/>
        <v>Low</v>
      </c>
      <c r="AF11" s="36">
        <f>+SUM(AF5:AF10)</f>
        <v>1.0001</v>
      </c>
    </row>
    <row r="12" spans="1:32" x14ac:dyDescent="0.2">
      <c r="B12" s="28" t="s">
        <v>294</v>
      </c>
      <c r="C12" s="28" t="s">
        <v>295</v>
      </c>
      <c r="D12" s="28" t="s">
        <v>274</v>
      </c>
      <c r="E12" s="28" t="str">
        <f>+_xlfn.XLOOKUP(D12,[1]Regiones!$B$4:$B$31,[1]Regiones!$G$4:$G$31)</f>
        <v>High</v>
      </c>
      <c r="F12" s="29">
        <f t="shared" si="0"/>
        <v>3</v>
      </c>
      <c r="G12" s="28">
        <f t="shared" si="3"/>
        <v>0.64290000000000003</v>
      </c>
      <c r="H12" s="28" t="s">
        <v>275</v>
      </c>
      <c r="I12" s="28">
        <f t="shared" si="4"/>
        <v>1</v>
      </c>
      <c r="J12" s="28">
        <f t="shared" si="5"/>
        <v>0.21429999999999999</v>
      </c>
      <c r="K12" s="28" t="s">
        <v>275</v>
      </c>
      <c r="L12" s="28">
        <f t="shared" si="6"/>
        <v>1</v>
      </c>
      <c r="M12" s="28">
        <f t="shared" si="7"/>
        <v>0.21429999999999999</v>
      </c>
      <c r="N12" s="28" t="s">
        <v>275</v>
      </c>
      <c r="O12" s="28">
        <f t="shared" si="1"/>
        <v>1</v>
      </c>
      <c r="P12" s="28">
        <f t="shared" si="8"/>
        <v>7.1400000000000005E-2</v>
      </c>
      <c r="Q12" s="28" t="s">
        <v>275</v>
      </c>
      <c r="R12" s="28">
        <f t="shared" si="2"/>
        <v>1</v>
      </c>
      <c r="S12" s="28">
        <f t="shared" si="9"/>
        <v>0.1429</v>
      </c>
      <c r="T12" s="28" t="s">
        <v>276</v>
      </c>
      <c r="U12" s="28">
        <v>1</v>
      </c>
      <c r="V12" s="28">
        <f t="shared" si="10"/>
        <v>0.1429</v>
      </c>
      <c r="W12" s="30">
        <f t="shared" si="11"/>
        <v>1.4286999999999999</v>
      </c>
      <c r="X12" s="31">
        <f t="shared" si="13"/>
        <v>1.4286999999999999</v>
      </c>
      <c r="Y12" s="31">
        <v>1</v>
      </c>
      <c r="Z12" s="32" t="str">
        <f t="shared" si="12"/>
        <v>Low</v>
      </c>
    </row>
    <row r="13" spans="1:32" x14ac:dyDescent="0.2">
      <c r="B13" s="28" t="s">
        <v>296</v>
      </c>
      <c r="C13" s="28" t="s">
        <v>297</v>
      </c>
      <c r="D13" s="28" t="s">
        <v>274</v>
      </c>
      <c r="E13" s="28" t="str">
        <f>+_xlfn.XLOOKUP(D13,[1]Regiones!$B$4:$B$31,[1]Regiones!$G$4:$G$31)</f>
        <v>High</v>
      </c>
      <c r="F13" s="29">
        <f t="shared" si="0"/>
        <v>3</v>
      </c>
      <c r="G13" s="28">
        <f t="shared" si="3"/>
        <v>0.64290000000000003</v>
      </c>
      <c r="H13" s="28" t="s">
        <v>275</v>
      </c>
      <c r="I13" s="28">
        <f t="shared" si="4"/>
        <v>1</v>
      </c>
      <c r="J13" s="28">
        <f t="shared" si="5"/>
        <v>0.21429999999999999</v>
      </c>
      <c r="K13" s="28" t="s">
        <v>279</v>
      </c>
      <c r="L13" s="28">
        <f t="shared" si="6"/>
        <v>3</v>
      </c>
      <c r="M13" s="28">
        <f t="shared" si="7"/>
        <v>0.64290000000000003</v>
      </c>
      <c r="N13" s="28" t="s">
        <v>275</v>
      </c>
      <c r="O13" s="28">
        <f t="shared" si="1"/>
        <v>1</v>
      </c>
      <c r="P13" s="28">
        <f t="shared" si="8"/>
        <v>7.1400000000000005E-2</v>
      </c>
      <c r="Q13" s="28" t="s">
        <v>275</v>
      </c>
      <c r="R13" s="28">
        <f t="shared" si="2"/>
        <v>1</v>
      </c>
      <c r="S13" s="28">
        <f t="shared" si="9"/>
        <v>0.1429</v>
      </c>
      <c r="T13" s="28" t="s">
        <v>276</v>
      </c>
      <c r="U13" s="28">
        <v>1</v>
      </c>
      <c r="V13" s="28">
        <f t="shared" si="10"/>
        <v>0.1429</v>
      </c>
      <c r="W13" s="30">
        <f t="shared" si="11"/>
        <v>1.8573</v>
      </c>
      <c r="X13" s="31">
        <f t="shared" si="13"/>
        <v>1.8573</v>
      </c>
      <c r="Y13" s="31">
        <v>2</v>
      </c>
      <c r="Z13" s="32" t="str">
        <f t="shared" si="12"/>
        <v>Medium</v>
      </c>
    </row>
    <row r="14" spans="1:32" x14ac:dyDescent="0.2">
      <c r="B14" s="28" t="s">
        <v>298</v>
      </c>
      <c r="C14" s="28" t="s">
        <v>299</v>
      </c>
      <c r="D14" s="28" t="s">
        <v>274</v>
      </c>
      <c r="E14" s="28" t="str">
        <f>+_xlfn.XLOOKUP(D14,[1]Regiones!$B$4:$B$31,[1]Regiones!$G$4:$G$31)</f>
        <v>High</v>
      </c>
      <c r="F14" s="29">
        <f t="shared" si="0"/>
        <v>3</v>
      </c>
      <c r="G14" s="28">
        <f t="shared" si="3"/>
        <v>0.64290000000000003</v>
      </c>
      <c r="H14" s="28" t="s">
        <v>275</v>
      </c>
      <c r="I14" s="28">
        <f t="shared" si="4"/>
        <v>1</v>
      </c>
      <c r="J14" s="28">
        <f t="shared" si="5"/>
        <v>0.21429999999999999</v>
      </c>
      <c r="K14" s="28" t="s">
        <v>275</v>
      </c>
      <c r="L14" s="28">
        <f t="shared" si="6"/>
        <v>1</v>
      </c>
      <c r="M14" s="28">
        <f t="shared" si="7"/>
        <v>0.21429999999999999</v>
      </c>
      <c r="N14" s="28" t="s">
        <v>275</v>
      </c>
      <c r="O14" s="28">
        <f t="shared" si="1"/>
        <v>1</v>
      </c>
      <c r="P14" s="28">
        <f t="shared" si="8"/>
        <v>7.1400000000000005E-2</v>
      </c>
      <c r="Q14" s="28" t="s">
        <v>275</v>
      </c>
      <c r="R14" s="28">
        <f t="shared" si="2"/>
        <v>1</v>
      </c>
      <c r="S14" s="28">
        <f t="shared" si="9"/>
        <v>0.1429</v>
      </c>
      <c r="T14" s="28" t="s">
        <v>276</v>
      </c>
      <c r="U14" s="28">
        <v>1</v>
      </c>
      <c r="V14" s="28">
        <f t="shared" si="10"/>
        <v>0.1429</v>
      </c>
      <c r="W14" s="30">
        <f t="shared" si="11"/>
        <v>1.4286999999999999</v>
      </c>
      <c r="X14" s="31">
        <f t="shared" si="13"/>
        <v>1.4286999999999999</v>
      </c>
      <c r="Y14" s="31">
        <v>1</v>
      </c>
      <c r="Z14" s="32" t="str">
        <f t="shared" si="12"/>
        <v>Low</v>
      </c>
    </row>
    <row r="15" spans="1:32" x14ac:dyDescent="0.2">
      <c r="B15" s="28" t="s">
        <v>300</v>
      </c>
      <c r="C15" s="28" t="s">
        <v>301</v>
      </c>
      <c r="D15" s="28" t="s">
        <v>274</v>
      </c>
      <c r="E15" s="28" t="str">
        <f>+_xlfn.XLOOKUP(D15,[1]Regiones!$B$4:$B$31,[1]Regiones!$G$4:$G$31)</f>
        <v>High</v>
      </c>
      <c r="F15" s="29">
        <f t="shared" si="0"/>
        <v>3</v>
      </c>
      <c r="G15" s="28">
        <f t="shared" si="3"/>
        <v>0.64290000000000003</v>
      </c>
      <c r="H15" s="28" t="s">
        <v>275</v>
      </c>
      <c r="I15" s="28">
        <f t="shared" si="4"/>
        <v>1</v>
      </c>
      <c r="J15" s="28">
        <f t="shared" si="5"/>
        <v>0.21429999999999999</v>
      </c>
      <c r="K15" s="28" t="s">
        <v>275</v>
      </c>
      <c r="L15" s="28">
        <f t="shared" si="6"/>
        <v>1</v>
      </c>
      <c r="M15" s="28">
        <f t="shared" si="7"/>
        <v>0.21429999999999999</v>
      </c>
      <c r="N15" s="28" t="s">
        <v>275</v>
      </c>
      <c r="O15" s="28">
        <f t="shared" si="1"/>
        <v>1</v>
      </c>
      <c r="P15" s="28">
        <f t="shared" si="8"/>
        <v>7.1400000000000005E-2</v>
      </c>
      <c r="Q15" s="28" t="s">
        <v>275</v>
      </c>
      <c r="R15" s="28">
        <f t="shared" si="2"/>
        <v>1</v>
      </c>
      <c r="S15" s="28">
        <f t="shared" si="9"/>
        <v>0.1429</v>
      </c>
      <c r="T15" s="28" t="s">
        <v>276</v>
      </c>
      <c r="U15" s="28">
        <v>1</v>
      </c>
      <c r="V15" s="28">
        <f t="shared" si="10"/>
        <v>0.1429</v>
      </c>
      <c r="W15" s="30">
        <f t="shared" si="11"/>
        <v>1.4286999999999999</v>
      </c>
      <c r="X15" s="31">
        <f t="shared" si="13"/>
        <v>1.4286999999999999</v>
      </c>
      <c r="Y15" s="31">
        <v>1</v>
      </c>
      <c r="Z15" s="32" t="str">
        <f t="shared" si="12"/>
        <v>Low</v>
      </c>
    </row>
    <row r="16" spans="1:32" x14ac:dyDescent="0.2">
      <c r="B16" s="28" t="s">
        <v>302</v>
      </c>
      <c r="C16" s="28" t="s">
        <v>303</v>
      </c>
      <c r="D16" s="28" t="s">
        <v>274</v>
      </c>
      <c r="E16" s="28" t="str">
        <f>+_xlfn.XLOOKUP(D16,[1]Regiones!$B$4:$B$31,[1]Regiones!$G$4:$G$31)</f>
        <v>High</v>
      </c>
      <c r="F16" s="29">
        <f t="shared" si="0"/>
        <v>3</v>
      </c>
      <c r="G16" s="28">
        <f t="shared" si="3"/>
        <v>0.64290000000000003</v>
      </c>
      <c r="H16" s="28" t="s">
        <v>275</v>
      </c>
      <c r="I16" s="28">
        <f t="shared" si="4"/>
        <v>1</v>
      </c>
      <c r="J16" s="28">
        <f t="shared" si="5"/>
        <v>0.21429999999999999</v>
      </c>
      <c r="K16" s="28" t="s">
        <v>279</v>
      </c>
      <c r="L16" s="28">
        <f t="shared" si="6"/>
        <v>3</v>
      </c>
      <c r="M16" s="28">
        <f t="shared" si="7"/>
        <v>0.64290000000000003</v>
      </c>
      <c r="N16" s="28" t="s">
        <v>275</v>
      </c>
      <c r="O16" s="28">
        <f t="shared" si="1"/>
        <v>1</v>
      </c>
      <c r="P16" s="28">
        <f t="shared" si="8"/>
        <v>7.1400000000000005E-2</v>
      </c>
      <c r="Q16" s="28" t="s">
        <v>275</v>
      </c>
      <c r="R16" s="28">
        <f t="shared" si="2"/>
        <v>1</v>
      </c>
      <c r="S16" s="28">
        <f t="shared" si="9"/>
        <v>0.1429</v>
      </c>
      <c r="T16" s="28" t="s">
        <v>276</v>
      </c>
      <c r="U16" s="28">
        <v>1</v>
      </c>
      <c r="V16" s="28">
        <f t="shared" si="10"/>
        <v>0.1429</v>
      </c>
      <c r="W16" s="30">
        <f t="shared" si="11"/>
        <v>1.8573</v>
      </c>
      <c r="X16" s="31">
        <f t="shared" si="13"/>
        <v>1.8573</v>
      </c>
      <c r="Y16" s="31">
        <v>2</v>
      </c>
      <c r="Z16" s="32" t="str">
        <f t="shared" si="12"/>
        <v>Medium</v>
      </c>
    </row>
    <row r="17" spans="2:26" x14ac:dyDescent="0.2">
      <c r="B17" s="28" t="s">
        <v>304</v>
      </c>
      <c r="C17" s="28" t="s">
        <v>305</v>
      </c>
      <c r="D17" s="28" t="s">
        <v>274</v>
      </c>
      <c r="E17" s="28" t="str">
        <f>+_xlfn.XLOOKUP(D17,[1]Regiones!$B$4:$B$31,[1]Regiones!$G$4:$G$31)</f>
        <v>High</v>
      </c>
      <c r="F17" s="29">
        <f t="shared" si="0"/>
        <v>3</v>
      </c>
      <c r="G17" s="28">
        <f t="shared" si="3"/>
        <v>0.64290000000000003</v>
      </c>
      <c r="H17" s="28" t="s">
        <v>275</v>
      </c>
      <c r="I17" s="28">
        <f t="shared" si="4"/>
        <v>1</v>
      </c>
      <c r="J17" s="28">
        <f t="shared" si="5"/>
        <v>0.21429999999999999</v>
      </c>
      <c r="K17" s="28" t="s">
        <v>275</v>
      </c>
      <c r="L17" s="28">
        <f t="shared" si="6"/>
        <v>1</v>
      </c>
      <c r="M17" s="28">
        <f t="shared" si="7"/>
        <v>0.21429999999999999</v>
      </c>
      <c r="N17" s="28" t="s">
        <v>275</v>
      </c>
      <c r="O17" s="28">
        <f t="shared" si="1"/>
        <v>1</v>
      </c>
      <c r="P17" s="28">
        <f t="shared" si="8"/>
        <v>7.1400000000000005E-2</v>
      </c>
      <c r="Q17" s="28" t="s">
        <v>275</v>
      </c>
      <c r="R17" s="28">
        <f t="shared" si="2"/>
        <v>1</v>
      </c>
      <c r="S17" s="28">
        <f t="shared" si="9"/>
        <v>0.1429</v>
      </c>
      <c r="T17" s="28" t="s">
        <v>276</v>
      </c>
      <c r="U17" s="28">
        <v>1</v>
      </c>
      <c r="V17" s="28">
        <f t="shared" si="10"/>
        <v>0.1429</v>
      </c>
      <c r="W17" s="30">
        <f t="shared" si="11"/>
        <v>1.4286999999999999</v>
      </c>
      <c r="X17" s="31">
        <f t="shared" si="13"/>
        <v>1.4286999999999999</v>
      </c>
      <c r="Y17" s="31">
        <v>1</v>
      </c>
      <c r="Z17" s="32" t="str">
        <f t="shared" si="12"/>
        <v>Low</v>
      </c>
    </row>
    <row r="18" spans="2:26" x14ac:dyDescent="0.2">
      <c r="B18" s="28" t="s">
        <v>306</v>
      </c>
      <c r="C18" s="28" t="s">
        <v>307</v>
      </c>
      <c r="D18" s="28" t="s">
        <v>274</v>
      </c>
      <c r="E18" s="28" t="str">
        <f>+_xlfn.XLOOKUP(D18,[1]Regiones!$B$4:$B$31,[1]Regiones!$G$4:$G$31)</f>
        <v>High</v>
      </c>
      <c r="F18" s="29">
        <f t="shared" si="0"/>
        <v>3</v>
      </c>
      <c r="G18" s="28">
        <f t="shared" si="3"/>
        <v>0.64290000000000003</v>
      </c>
      <c r="H18" s="28" t="s">
        <v>275</v>
      </c>
      <c r="I18" s="28">
        <f t="shared" si="4"/>
        <v>1</v>
      </c>
      <c r="J18" s="28">
        <f t="shared" si="5"/>
        <v>0.21429999999999999</v>
      </c>
      <c r="K18" s="28" t="s">
        <v>275</v>
      </c>
      <c r="L18" s="28">
        <f t="shared" si="6"/>
        <v>1</v>
      </c>
      <c r="M18" s="28">
        <f t="shared" si="7"/>
        <v>0.21429999999999999</v>
      </c>
      <c r="N18" s="28" t="s">
        <v>279</v>
      </c>
      <c r="O18" s="28">
        <f t="shared" si="1"/>
        <v>3</v>
      </c>
      <c r="P18" s="28">
        <f t="shared" si="8"/>
        <v>0.2142</v>
      </c>
      <c r="Q18" s="28" t="s">
        <v>275</v>
      </c>
      <c r="R18" s="28">
        <f t="shared" si="2"/>
        <v>1</v>
      </c>
      <c r="S18" s="28">
        <f t="shared" si="9"/>
        <v>0.1429</v>
      </c>
      <c r="T18" s="28" t="s">
        <v>276</v>
      </c>
      <c r="U18" s="28">
        <v>1</v>
      </c>
      <c r="V18" s="28">
        <f t="shared" si="10"/>
        <v>0.1429</v>
      </c>
      <c r="W18" s="30">
        <f t="shared" si="11"/>
        <v>1.5714999999999999</v>
      </c>
      <c r="X18" s="31">
        <f t="shared" si="13"/>
        <v>1.5714999999999999</v>
      </c>
      <c r="Y18" s="31">
        <v>2</v>
      </c>
      <c r="Z18" s="32" t="str">
        <f t="shared" si="12"/>
        <v>Medium</v>
      </c>
    </row>
    <row r="19" spans="2:26" x14ac:dyDescent="0.2">
      <c r="B19" s="28" t="s">
        <v>308</v>
      </c>
      <c r="C19" s="28" t="s">
        <v>309</v>
      </c>
      <c r="D19" s="28" t="s">
        <v>274</v>
      </c>
      <c r="E19" s="28" t="str">
        <f>+_xlfn.XLOOKUP(D19,[1]Regiones!$B$4:$B$31,[1]Regiones!$G$4:$G$31)</f>
        <v>High</v>
      </c>
      <c r="F19" s="29">
        <f t="shared" si="0"/>
        <v>3</v>
      </c>
      <c r="G19" s="28">
        <f t="shared" si="3"/>
        <v>0.64290000000000003</v>
      </c>
      <c r="H19" s="28" t="s">
        <v>275</v>
      </c>
      <c r="I19" s="28">
        <f t="shared" si="4"/>
        <v>1</v>
      </c>
      <c r="J19" s="28">
        <f t="shared" si="5"/>
        <v>0.21429999999999999</v>
      </c>
      <c r="K19" s="28" t="s">
        <v>275</v>
      </c>
      <c r="L19" s="28">
        <f t="shared" si="6"/>
        <v>1</v>
      </c>
      <c r="M19" s="28">
        <f t="shared" si="7"/>
        <v>0.21429999999999999</v>
      </c>
      <c r="N19" s="28" t="s">
        <v>275</v>
      </c>
      <c r="O19" s="28">
        <f t="shared" si="1"/>
        <v>1</v>
      </c>
      <c r="P19" s="28">
        <f t="shared" si="8"/>
        <v>7.1400000000000005E-2</v>
      </c>
      <c r="Q19" s="28" t="s">
        <v>275</v>
      </c>
      <c r="R19" s="28">
        <f t="shared" si="2"/>
        <v>1</v>
      </c>
      <c r="S19" s="28">
        <f t="shared" si="9"/>
        <v>0.1429</v>
      </c>
      <c r="T19" s="28" t="s">
        <v>276</v>
      </c>
      <c r="U19" s="28">
        <v>1</v>
      </c>
      <c r="V19" s="28">
        <f t="shared" si="10"/>
        <v>0.1429</v>
      </c>
      <c r="W19" s="30">
        <f t="shared" si="11"/>
        <v>1.4286999999999999</v>
      </c>
      <c r="X19" s="31">
        <f t="shared" si="13"/>
        <v>1.4286999999999999</v>
      </c>
      <c r="Y19" s="31">
        <v>1</v>
      </c>
      <c r="Z19" s="32" t="str">
        <f t="shared" si="12"/>
        <v>Low</v>
      </c>
    </row>
    <row r="20" spans="2:26" x14ac:dyDescent="0.2">
      <c r="B20" s="28" t="s">
        <v>310</v>
      </c>
      <c r="C20" s="28" t="s">
        <v>311</v>
      </c>
      <c r="D20" s="28" t="s">
        <v>312</v>
      </c>
      <c r="E20" s="28" t="str">
        <f>+_xlfn.XLOOKUP(D20,[1]Regiones!$B$4:$B$31,[1]Regiones!$G$4:$G$31)</f>
        <v>High</v>
      </c>
      <c r="F20" s="29">
        <f t="shared" si="0"/>
        <v>3</v>
      </c>
      <c r="G20" s="28">
        <f t="shared" si="3"/>
        <v>0.64290000000000003</v>
      </c>
      <c r="H20" s="28" t="s">
        <v>275</v>
      </c>
      <c r="I20" s="28">
        <f t="shared" si="4"/>
        <v>1</v>
      </c>
      <c r="J20" s="28">
        <f t="shared" si="5"/>
        <v>0.21429999999999999</v>
      </c>
      <c r="K20" s="28" t="s">
        <v>275</v>
      </c>
      <c r="L20" s="28">
        <f t="shared" si="6"/>
        <v>1</v>
      </c>
      <c r="M20" s="28">
        <f t="shared" si="7"/>
        <v>0.21429999999999999</v>
      </c>
      <c r="N20" s="28" t="s">
        <v>279</v>
      </c>
      <c r="O20" s="28">
        <f t="shared" si="1"/>
        <v>3</v>
      </c>
      <c r="P20" s="28">
        <f t="shared" si="8"/>
        <v>0.2142</v>
      </c>
      <c r="Q20" s="28" t="s">
        <v>275</v>
      </c>
      <c r="R20" s="28">
        <f t="shared" si="2"/>
        <v>1</v>
      </c>
      <c r="S20" s="28">
        <f t="shared" si="9"/>
        <v>0.1429</v>
      </c>
      <c r="T20" s="28" t="s">
        <v>313</v>
      </c>
      <c r="U20" s="28">
        <v>3</v>
      </c>
      <c r="V20" s="28">
        <f t="shared" si="10"/>
        <v>0.42869999999999997</v>
      </c>
      <c r="W20" s="30">
        <f t="shared" si="11"/>
        <v>1.8573</v>
      </c>
      <c r="X20" s="31">
        <f t="shared" si="13"/>
        <v>1.8573</v>
      </c>
      <c r="Y20" s="31">
        <v>2</v>
      </c>
      <c r="Z20" s="32" t="str">
        <f t="shared" si="12"/>
        <v>Medium</v>
      </c>
    </row>
    <row r="21" spans="2:26" x14ac:dyDescent="0.2">
      <c r="B21" s="28" t="s">
        <v>314</v>
      </c>
      <c r="C21" s="28" t="s">
        <v>315</v>
      </c>
      <c r="D21" s="28" t="s">
        <v>316</v>
      </c>
      <c r="E21" s="28" t="str">
        <f>+_xlfn.XLOOKUP(D21,[1]Regiones!$B$4:$B$31,[1]Regiones!$G$4:$G$31)</f>
        <v>High</v>
      </c>
      <c r="F21" s="29">
        <f t="shared" si="0"/>
        <v>3</v>
      </c>
      <c r="G21" s="28">
        <f t="shared" si="3"/>
        <v>0.64290000000000003</v>
      </c>
      <c r="H21" s="28" t="s">
        <v>275</v>
      </c>
      <c r="I21" s="28">
        <f t="shared" si="4"/>
        <v>1</v>
      </c>
      <c r="J21" s="28">
        <f t="shared" si="5"/>
        <v>0.21429999999999999</v>
      </c>
      <c r="K21" s="28" t="s">
        <v>279</v>
      </c>
      <c r="L21" s="28">
        <f t="shared" si="6"/>
        <v>3</v>
      </c>
      <c r="M21" s="28">
        <f t="shared" si="7"/>
        <v>0.64290000000000003</v>
      </c>
      <c r="N21" s="28" t="s">
        <v>275</v>
      </c>
      <c r="O21" s="28">
        <f t="shared" si="1"/>
        <v>1</v>
      </c>
      <c r="P21" s="28">
        <f t="shared" si="8"/>
        <v>7.1400000000000005E-2</v>
      </c>
      <c r="Q21" s="28" t="s">
        <v>275</v>
      </c>
      <c r="R21" s="28">
        <f t="shared" si="2"/>
        <v>1</v>
      </c>
      <c r="S21" s="28">
        <f t="shared" si="9"/>
        <v>0.1429</v>
      </c>
      <c r="T21" s="28" t="s">
        <v>276</v>
      </c>
      <c r="U21" s="28">
        <v>1</v>
      </c>
      <c r="V21" s="28">
        <f t="shared" si="10"/>
        <v>0.1429</v>
      </c>
      <c r="W21" s="30">
        <f t="shared" si="11"/>
        <v>1.8573</v>
      </c>
      <c r="X21" s="31">
        <f t="shared" si="13"/>
        <v>1.8573</v>
      </c>
      <c r="Y21" s="31">
        <v>2</v>
      </c>
      <c r="Z21" s="32" t="str">
        <f t="shared" si="12"/>
        <v>Medium</v>
      </c>
    </row>
    <row r="22" spans="2:26" x14ac:dyDescent="0.2">
      <c r="B22" s="28" t="s">
        <v>317</v>
      </c>
      <c r="C22" s="28" t="s">
        <v>318</v>
      </c>
      <c r="D22" s="28" t="s">
        <v>319</v>
      </c>
      <c r="E22" s="28" t="str">
        <f>+_xlfn.XLOOKUP(D22,[1]Regiones!$B$4:$B$31,[1]Regiones!$G$4:$G$31)</f>
        <v>Low</v>
      </c>
      <c r="F22" s="29">
        <f t="shared" si="0"/>
        <v>1</v>
      </c>
      <c r="G22" s="28">
        <f t="shared" si="3"/>
        <v>0.21429999999999999</v>
      </c>
      <c r="H22" s="28" t="s">
        <v>275</v>
      </c>
      <c r="I22" s="28">
        <f t="shared" si="4"/>
        <v>1</v>
      </c>
      <c r="J22" s="28">
        <f t="shared" si="5"/>
        <v>0.21429999999999999</v>
      </c>
      <c r="K22" s="28" t="s">
        <v>275</v>
      </c>
      <c r="L22" s="28">
        <f t="shared" si="6"/>
        <v>1</v>
      </c>
      <c r="M22" s="28">
        <f t="shared" si="7"/>
        <v>0.21429999999999999</v>
      </c>
      <c r="N22" s="28" t="s">
        <v>275</v>
      </c>
      <c r="O22" s="28">
        <f t="shared" si="1"/>
        <v>1</v>
      </c>
      <c r="P22" s="28">
        <f t="shared" si="8"/>
        <v>7.1400000000000005E-2</v>
      </c>
      <c r="Q22" s="28" t="s">
        <v>275</v>
      </c>
      <c r="R22" s="28">
        <f t="shared" si="2"/>
        <v>1</v>
      </c>
      <c r="S22" s="28">
        <f t="shared" si="9"/>
        <v>0.1429</v>
      </c>
      <c r="T22" s="28" t="s">
        <v>276</v>
      </c>
      <c r="U22" s="28">
        <v>1</v>
      </c>
      <c r="V22" s="28">
        <f t="shared" si="10"/>
        <v>0.1429</v>
      </c>
      <c r="W22" s="30">
        <f t="shared" si="11"/>
        <v>1.0001</v>
      </c>
      <c r="X22" s="31">
        <f t="shared" si="13"/>
        <v>1.0001</v>
      </c>
      <c r="Y22" s="31">
        <v>1</v>
      </c>
      <c r="Z22" s="32" t="str">
        <f t="shared" si="12"/>
        <v>Low</v>
      </c>
    </row>
    <row r="23" spans="2:26" x14ac:dyDescent="0.2">
      <c r="B23" s="28" t="s">
        <v>320</v>
      </c>
      <c r="C23" s="28" t="s">
        <v>321</v>
      </c>
      <c r="D23" s="28" t="s">
        <v>312</v>
      </c>
      <c r="E23" s="28" t="str">
        <f>+_xlfn.XLOOKUP(D23,[1]Regiones!$B$4:$B$31,[1]Regiones!$G$4:$G$31)</f>
        <v>High</v>
      </c>
      <c r="F23" s="29">
        <f t="shared" si="0"/>
        <v>3</v>
      </c>
      <c r="G23" s="28">
        <f t="shared" si="3"/>
        <v>0.64290000000000003</v>
      </c>
      <c r="H23" s="28" t="s">
        <v>275</v>
      </c>
      <c r="I23" s="28">
        <f t="shared" si="4"/>
        <v>1</v>
      </c>
      <c r="J23" s="28">
        <f t="shared" si="5"/>
        <v>0.21429999999999999</v>
      </c>
      <c r="K23" s="28" t="s">
        <v>275</v>
      </c>
      <c r="L23" s="28">
        <f t="shared" si="6"/>
        <v>1</v>
      </c>
      <c r="M23" s="28">
        <f t="shared" si="7"/>
        <v>0.21429999999999999</v>
      </c>
      <c r="N23" s="28" t="s">
        <v>275</v>
      </c>
      <c r="O23" s="28">
        <f t="shared" si="1"/>
        <v>1</v>
      </c>
      <c r="P23" s="28">
        <f t="shared" si="8"/>
        <v>7.1400000000000005E-2</v>
      </c>
      <c r="Q23" s="28" t="s">
        <v>275</v>
      </c>
      <c r="R23" s="28">
        <f t="shared" si="2"/>
        <v>1</v>
      </c>
      <c r="S23" s="28">
        <f t="shared" si="9"/>
        <v>0.1429</v>
      </c>
      <c r="T23" s="28" t="s">
        <v>276</v>
      </c>
      <c r="U23" s="28">
        <v>1</v>
      </c>
      <c r="V23" s="28">
        <f t="shared" si="10"/>
        <v>0.1429</v>
      </c>
      <c r="W23" s="30">
        <f t="shared" si="11"/>
        <v>1.4286999999999999</v>
      </c>
      <c r="X23" s="31">
        <f t="shared" si="13"/>
        <v>1.4286999999999999</v>
      </c>
      <c r="Y23" s="31">
        <v>1</v>
      </c>
      <c r="Z23" s="32" t="str">
        <f t="shared" si="12"/>
        <v>Low</v>
      </c>
    </row>
    <row r="24" spans="2:26" x14ac:dyDescent="0.2">
      <c r="B24" s="28" t="s">
        <v>322</v>
      </c>
      <c r="C24" s="28" t="s">
        <v>323</v>
      </c>
      <c r="D24" s="28" t="s">
        <v>274</v>
      </c>
      <c r="E24" s="28" t="str">
        <f>+_xlfn.XLOOKUP(D24,[1]Regiones!$B$4:$B$31,[1]Regiones!$G$4:$G$31)</f>
        <v>High</v>
      </c>
      <c r="F24" s="29">
        <f t="shared" si="0"/>
        <v>3</v>
      </c>
      <c r="G24" s="28">
        <f t="shared" si="3"/>
        <v>0.64290000000000003</v>
      </c>
      <c r="H24" s="28" t="s">
        <v>275</v>
      </c>
      <c r="I24" s="28">
        <f t="shared" si="4"/>
        <v>1</v>
      </c>
      <c r="J24" s="28">
        <f t="shared" si="5"/>
        <v>0.21429999999999999</v>
      </c>
      <c r="K24" s="28" t="s">
        <v>275</v>
      </c>
      <c r="L24" s="28">
        <f t="shared" si="6"/>
        <v>1</v>
      </c>
      <c r="M24" s="28">
        <f t="shared" si="7"/>
        <v>0.21429999999999999</v>
      </c>
      <c r="N24" s="28" t="s">
        <v>279</v>
      </c>
      <c r="O24" s="28">
        <f t="shared" si="1"/>
        <v>3</v>
      </c>
      <c r="P24" s="28">
        <f t="shared" si="8"/>
        <v>0.2142</v>
      </c>
      <c r="Q24" s="28" t="s">
        <v>279</v>
      </c>
      <c r="R24" s="28">
        <f t="shared" si="2"/>
        <v>3</v>
      </c>
      <c r="S24" s="28">
        <f t="shared" si="9"/>
        <v>0.42869999999999997</v>
      </c>
      <c r="T24" s="28" t="s">
        <v>280</v>
      </c>
      <c r="U24" s="28">
        <v>3</v>
      </c>
      <c r="V24" s="28">
        <f t="shared" si="10"/>
        <v>0.42869999999999997</v>
      </c>
      <c r="W24" s="30">
        <f t="shared" si="11"/>
        <v>2.1431</v>
      </c>
      <c r="X24" s="31">
        <f t="shared" si="13"/>
        <v>2.1431</v>
      </c>
      <c r="Y24" s="31">
        <v>2</v>
      </c>
      <c r="Z24" s="32" t="str">
        <f t="shared" si="12"/>
        <v>Medium</v>
      </c>
    </row>
    <row r="25" spans="2:26" x14ac:dyDescent="0.2">
      <c r="B25" s="28" t="s">
        <v>324</v>
      </c>
      <c r="C25" s="28" t="s">
        <v>325</v>
      </c>
      <c r="D25" s="28" t="s">
        <v>274</v>
      </c>
      <c r="E25" s="28" t="str">
        <f>+_xlfn.XLOOKUP(D25,[1]Regiones!$B$4:$B$31,[1]Regiones!$G$4:$G$31)</f>
        <v>High</v>
      </c>
      <c r="F25" s="29">
        <f t="shared" si="0"/>
        <v>3</v>
      </c>
      <c r="G25" s="28">
        <f t="shared" si="3"/>
        <v>0.64290000000000003</v>
      </c>
      <c r="H25" s="28" t="s">
        <v>275</v>
      </c>
      <c r="I25" s="28">
        <f t="shared" si="4"/>
        <v>1</v>
      </c>
      <c r="J25" s="28">
        <f t="shared" si="5"/>
        <v>0.21429999999999999</v>
      </c>
      <c r="K25" s="28" t="s">
        <v>275</v>
      </c>
      <c r="L25" s="28">
        <f t="shared" si="6"/>
        <v>1</v>
      </c>
      <c r="M25" s="28">
        <f t="shared" si="7"/>
        <v>0.21429999999999999</v>
      </c>
      <c r="N25" s="28" t="s">
        <v>279</v>
      </c>
      <c r="O25" s="28">
        <f t="shared" si="1"/>
        <v>3</v>
      </c>
      <c r="P25" s="28">
        <f t="shared" si="8"/>
        <v>0.2142</v>
      </c>
      <c r="Q25" s="28" t="s">
        <v>279</v>
      </c>
      <c r="R25" s="28">
        <f t="shared" si="2"/>
        <v>3</v>
      </c>
      <c r="S25" s="28">
        <f t="shared" si="9"/>
        <v>0.42869999999999997</v>
      </c>
      <c r="T25" s="28" t="s">
        <v>280</v>
      </c>
      <c r="U25" s="28">
        <v>3</v>
      </c>
      <c r="V25" s="28">
        <f t="shared" si="10"/>
        <v>0.42869999999999997</v>
      </c>
      <c r="W25" s="30">
        <f t="shared" si="11"/>
        <v>2.1431</v>
      </c>
      <c r="X25" s="31">
        <f t="shared" si="13"/>
        <v>2.1431</v>
      </c>
      <c r="Y25" s="31">
        <v>2</v>
      </c>
      <c r="Z25" s="32" t="str">
        <f t="shared" si="12"/>
        <v>Medium</v>
      </c>
    </row>
    <row r="26" spans="2:26" x14ac:dyDescent="0.2">
      <c r="B26" s="28" t="s">
        <v>326</v>
      </c>
      <c r="C26" s="28" t="s">
        <v>327</v>
      </c>
      <c r="D26" s="28" t="s">
        <v>328</v>
      </c>
      <c r="E26" s="28" t="str">
        <f>+_xlfn.XLOOKUP(D26,[1]Regiones!$B$4:$B$31,[1]Regiones!$G$4:$G$31)</f>
        <v>High</v>
      </c>
      <c r="F26" s="29">
        <f t="shared" si="0"/>
        <v>3</v>
      </c>
      <c r="G26" s="28">
        <f t="shared" si="3"/>
        <v>0.64290000000000003</v>
      </c>
      <c r="H26" s="28" t="s">
        <v>275</v>
      </c>
      <c r="I26" s="28">
        <f t="shared" si="4"/>
        <v>1</v>
      </c>
      <c r="J26" s="28">
        <f t="shared" si="5"/>
        <v>0.21429999999999999</v>
      </c>
      <c r="K26" s="28" t="s">
        <v>279</v>
      </c>
      <c r="L26" s="28">
        <f t="shared" si="6"/>
        <v>3</v>
      </c>
      <c r="M26" s="28">
        <f t="shared" si="7"/>
        <v>0.64290000000000003</v>
      </c>
      <c r="N26" s="28" t="s">
        <v>275</v>
      </c>
      <c r="O26" s="28">
        <f t="shared" si="1"/>
        <v>1</v>
      </c>
      <c r="P26" s="28">
        <f t="shared" si="8"/>
        <v>7.1400000000000005E-2</v>
      </c>
      <c r="Q26" s="28" t="s">
        <v>275</v>
      </c>
      <c r="R26" s="28">
        <f t="shared" si="2"/>
        <v>1</v>
      </c>
      <c r="S26" s="28">
        <f t="shared" si="9"/>
        <v>0.1429</v>
      </c>
      <c r="T26" s="28" t="s">
        <v>276</v>
      </c>
      <c r="U26" s="28">
        <v>1</v>
      </c>
      <c r="V26" s="28">
        <f t="shared" si="10"/>
        <v>0.1429</v>
      </c>
      <c r="W26" s="30">
        <f t="shared" si="11"/>
        <v>1.8573</v>
      </c>
      <c r="X26" s="31">
        <f t="shared" si="13"/>
        <v>1.8573</v>
      </c>
      <c r="Y26" s="31">
        <v>2</v>
      </c>
      <c r="Z26" s="32" t="str">
        <f t="shared" si="12"/>
        <v>Medium</v>
      </c>
    </row>
    <row r="27" spans="2:26" x14ac:dyDescent="0.2">
      <c r="B27" s="28" t="s">
        <v>329</v>
      </c>
      <c r="C27" s="28" t="s">
        <v>330</v>
      </c>
      <c r="D27" s="28" t="s">
        <v>274</v>
      </c>
      <c r="E27" s="28" t="str">
        <f>+_xlfn.XLOOKUP(D27,[1]Regiones!$B$4:$B$31,[1]Regiones!$G$4:$G$31)</f>
        <v>High</v>
      </c>
      <c r="F27" s="29">
        <f t="shared" si="0"/>
        <v>3</v>
      </c>
      <c r="G27" s="28">
        <f t="shared" si="3"/>
        <v>0.64290000000000003</v>
      </c>
      <c r="H27" s="28" t="s">
        <v>275</v>
      </c>
      <c r="I27" s="28">
        <f t="shared" si="4"/>
        <v>1</v>
      </c>
      <c r="J27" s="28">
        <f t="shared" si="5"/>
        <v>0.21429999999999999</v>
      </c>
      <c r="K27" s="28" t="s">
        <v>275</v>
      </c>
      <c r="L27" s="28">
        <f t="shared" si="6"/>
        <v>1</v>
      </c>
      <c r="M27" s="28">
        <f t="shared" si="7"/>
        <v>0.21429999999999999</v>
      </c>
      <c r="N27" s="28" t="s">
        <v>279</v>
      </c>
      <c r="O27" s="28">
        <f t="shared" si="1"/>
        <v>3</v>
      </c>
      <c r="P27" s="28">
        <f t="shared" si="8"/>
        <v>0.2142</v>
      </c>
      <c r="Q27" s="28" t="s">
        <v>275</v>
      </c>
      <c r="R27" s="28">
        <f t="shared" si="2"/>
        <v>1</v>
      </c>
      <c r="S27" s="28">
        <f t="shared" si="9"/>
        <v>0.1429</v>
      </c>
      <c r="T27" s="28" t="s">
        <v>276</v>
      </c>
      <c r="U27" s="28">
        <v>1</v>
      </c>
      <c r="V27" s="28">
        <f t="shared" si="10"/>
        <v>0.1429</v>
      </c>
      <c r="W27" s="30">
        <f t="shared" si="11"/>
        <v>1.5714999999999999</v>
      </c>
      <c r="X27" s="31">
        <f t="shared" si="13"/>
        <v>1.5714999999999999</v>
      </c>
      <c r="Y27" s="31">
        <v>2</v>
      </c>
      <c r="Z27" s="32" t="str">
        <f t="shared" si="12"/>
        <v>Medium</v>
      </c>
    </row>
    <row r="28" spans="2:26" x14ac:dyDescent="0.2">
      <c r="B28" s="28" t="s">
        <v>331</v>
      </c>
      <c r="C28" s="28" t="s">
        <v>332</v>
      </c>
      <c r="D28" s="28" t="s">
        <v>274</v>
      </c>
      <c r="E28" s="28" t="str">
        <f>+_xlfn.XLOOKUP(D28,[1]Regiones!$B$4:$B$31,[1]Regiones!$G$4:$G$31)</f>
        <v>High</v>
      </c>
      <c r="F28" s="29">
        <f t="shared" si="0"/>
        <v>3</v>
      </c>
      <c r="G28" s="28">
        <f t="shared" si="3"/>
        <v>0.64290000000000003</v>
      </c>
      <c r="H28" s="28" t="s">
        <v>275</v>
      </c>
      <c r="I28" s="28">
        <f t="shared" si="4"/>
        <v>1</v>
      </c>
      <c r="J28" s="28">
        <f t="shared" si="5"/>
        <v>0.21429999999999999</v>
      </c>
      <c r="K28" s="28" t="s">
        <v>275</v>
      </c>
      <c r="L28" s="28">
        <f t="shared" si="6"/>
        <v>1</v>
      </c>
      <c r="M28" s="28">
        <f t="shared" si="7"/>
        <v>0.21429999999999999</v>
      </c>
      <c r="N28" s="28" t="s">
        <v>275</v>
      </c>
      <c r="O28" s="28">
        <f t="shared" si="1"/>
        <v>1</v>
      </c>
      <c r="P28" s="28">
        <f t="shared" si="8"/>
        <v>7.1400000000000005E-2</v>
      </c>
      <c r="Q28" s="28" t="s">
        <v>275</v>
      </c>
      <c r="R28" s="28">
        <f t="shared" si="2"/>
        <v>1</v>
      </c>
      <c r="S28" s="28">
        <f t="shared" si="9"/>
        <v>0.1429</v>
      </c>
      <c r="T28" s="28" t="s">
        <v>276</v>
      </c>
      <c r="U28" s="28">
        <v>1</v>
      </c>
      <c r="V28" s="28">
        <f t="shared" si="10"/>
        <v>0.1429</v>
      </c>
      <c r="W28" s="30">
        <f t="shared" si="11"/>
        <v>1.4286999999999999</v>
      </c>
      <c r="X28" s="31">
        <f t="shared" si="13"/>
        <v>1.4286999999999999</v>
      </c>
      <c r="Y28" s="31">
        <v>1</v>
      </c>
      <c r="Z28" s="32" t="str">
        <f t="shared" si="12"/>
        <v>Low</v>
      </c>
    </row>
    <row r="29" spans="2:26" x14ac:dyDescent="0.2">
      <c r="B29" s="28" t="s">
        <v>333</v>
      </c>
      <c r="C29" s="28" t="s">
        <v>334</v>
      </c>
      <c r="D29" s="28" t="s">
        <v>274</v>
      </c>
      <c r="E29" s="28" t="str">
        <f>+_xlfn.XLOOKUP(D29,[1]Regiones!$B$4:$B$31,[1]Regiones!$G$4:$G$31)</f>
        <v>High</v>
      </c>
      <c r="F29" s="29">
        <f t="shared" si="0"/>
        <v>3</v>
      </c>
      <c r="G29" s="28">
        <f t="shared" si="3"/>
        <v>0.64290000000000003</v>
      </c>
      <c r="H29" s="28" t="s">
        <v>275</v>
      </c>
      <c r="I29" s="28">
        <f t="shared" si="4"/>
        <v>1</v>
      </c>
      <c r="J29" s="28">
        <f t="shared" si="5"/>
        <v>0.21429999999999999</v>
      </c>
      <c r="K29" s="28" t="s">
        <v>279</v>
      </c>
      <c r="L29" s="28">
        <f t="shared" si="6"/>
        <v>3</v>
      </c>
      <c r="M29" s="28">
        <f t="shared" si="7"/>
        <v>0.64290000000000003</v>
      </c>
      <c r="N29" s="28" t="s">
        <v>275</v>
      </c>
      <c r="O29" s="28">
        <f t="shared" si="1"/>
        <v>1</v>
      </c>
      <c r="P29" s="28">
        <f t="shared" si="8"/>
        <v>7.1400000000000005E-2</v>
      </c>
      <c r="Q29" s="28" t="s">
        <v>275</v>
      </c>
      <c r="R29" s="28">
        <f t="shared" si="2"/>
        <v>1</v>
      </c>
      <c r="S29" s="28">
        <f t="shared" si="9"/>
        <v>0.1429</v>
      </c>
      <c r="T29" s="28" t="s">
        <v>276</v>
      </c>
      <c r="U29" s="28">
        <v>1</v>
      </c>
      <c r="V29" s="28">
        <f t="shared" si="10"/>
        <v>0.1429</v>
      </c>
      <c r="W29" s="30">
        <f t="shared" si="11"/>
        <v>1.8573</v>
      </c>
      <c r="X29" s="31">
        <f t="shared" si="13"/>
        <v>1.8573</v>
      </c>
      <c r="Y29" s="31">
        <v>2</v>
      </c>
      <c r="Z29" s="32" t="str">
        <f t="shared" si="12"/>
        <v>Medium</v>
      </c>
    </row>
    <row r="30" spans="2:26" x14ac:dyDescent="0.2">
      <c r="B30" s="28" t="s">
        <v>335</v>
      </c>
      <c r="C30" s="28" t="s">
        <v>336</v>
      </c>
      <c r="D30" s="28" t="s">
        <v>274</v>
      </c>
      <c r="E30" s="28" t="str">
        <f>+_xlfn.XLOOKUP(D30,[1]Regiones!$B$4:$B$31,[1]Regiones!$G$4:$G$31)</f>
        <v>High</v>
      </c>
      <c r="F30" s="29">
        <f t="shared" si="0"/>
        <v>3</v>
      </c>
      <c r="G30" s="28">
        <f t="shared" si="3"/>
        <v>0.64290000000000003</v>
      </c>
      <c r="H30" s="28" t="s">
        <v>275</v>
      </c>
      <c r="I30" s="28">
        <f t="shared" si="4"/>
        <v>1</v>
      </c>
      <c r="J30" s="28">
        <f t="shared" si="5"/>
        <v>0.21429999999999999</v>
      </c>
      <c r="K30" s="28" t="s">
        <v>279</v>
      </c>
      <c r="L30" s="28">
        <f t="shared" si="6"/>
        <v>3</v>
      </c>
      <c r="M30" s="28">
        <f t="shared" si="7"/>
        <v>0.64290000000000003</v>
      </c>
      <c r="N30" s="28" t="s">
        <v>279</v>
      </c>
      <c r="O30" s="28">
        <f t="shared" si="1"/>
        <v>3</v>
      </c>
      <c r="P30" s="28">
        <f t="shared" si="8"/>
        <v>0.2142</v>
      </c>
      <c r="Q30" s="28" t="s">
        <v>279</v>
      </c>
      <c r="R30" s="28">
        <f t="shared" si="2"/>
        <v>3</v>
      </c>
      <c r="S30" s="28">
        <f t="shared" si="9"/>
        <v>0.42869999999999997</v>
      </c>
      <c r="T30" s="28" t="s">
        <v>280</v>
      </c>
      <c r="U30" s="28">
        <v>3</v>
      </c>
      <c r="V30" s="28">
        <f t="shared" si="10"/>
        <v>0.42869999999999997</v>
      </c>
      <c r="W30" s="30">
        <f t="shared" si="11"/>
        <v>2.5716999999999999</v>
      </c>
      <c r="X30" s="31">
        <f t="shared" si="13"/>
        <v>2.5716999999999999</v>
      </c>
      <c r="Y30" s="31">
        <v>3</v>
      </c>
      <c r="Z30" s="32" t="str">
        <f t="shared" si="12"/>
        <v>High</v>
      </c>
    </row>
    <row r="31" spans="2:26" x14ac:dyDescent="0.2">
      <c r="B31" s="28" t="s">
        <v>337</v>
      </c>
      <c r="C31" s="28" t="s">
        <v>338</v>
      </c>
      <c r="D31" s="28" t="s">
        <v>339</v>
      </c>
      <c r="E31" s="28" t="str">
        <f>+_xlfn.XLOOKUP(D31,[1]Regiones!$B$4:$B$31,[1]Regiones!$G$4:$G$31)</f>
        <v>Medium</v>
      </c>
      <c r="F31" s="29">
        <f t="shared" si="0"/>
        <v>2</v>
      </c>
      <c r="G31" s="28">
        <f t="shared" si="3"/>
        <v>0.42859999999999998</v>
      </c>
      <c r="H31" s="28" t="s">
        <v>275</v>
      </c>
      <c r="I31" s="28">
        <f t="shared" si="4"/>
        <v>1</v>
      </c>
      <c r="J31" s="28">
        <f t="shared" si="5"/>
        <v>0.21429999999999999</v>
      </c>
      <c r="K31" s="28" t="s">
        <v>275</v>
      </c>
      <c r="L31" s="28">
        <f t="shared" si="6"/>
        <v>1</v>
      </c>
      <c r="M31" s="28">
        <f t="shared" si="7"/>
        <v>0.21429999999999999</v>
      </c>
      <c r="N31" s="28" t="s">
        <v>279</v>
      </c>
      <c r="O31" s="28">
        <f t="shared" si="1"/>
        <v>3</v>
      </c>
      <c r="P31" s="28">
        <f t="shared" si="8"/>
        <v>0.2142</v>
      </c>
      <c r="Q31" s="28" t="s">
        <v>279</v>
      </c>
      <c r="R31" s="28">
        <f t="shared" si="2"/>
        <v>3</v>
      </c>
      <c r="S31" s="28">
        <f t="shared" si="9"/>
        <v>0.42869999999999997</v>
      </c>
      <c r="T31" s="28" t="s">
        <v>276</v>
      </c>
      <c r="U31" s="28">
        <v>1</v>
      </c>
      <c r="V31" s="28">
        <f t="shared" si="10"/>
        <v>0.1429</v>
      </c>
      <c r="W31" s="30">
        <f t="shared" si="11"/>
        <v>1.6429999999999998</v>
      </c>
      <c r="X31" s="31">
        <f t="shared" si="13"/>
        <v>1.6429999999999998</v>
      </c>
      <c r="Y31" s="31">
        <v>2</v>
      </c>
      <c r="Z31" s="32" t="str">
        <f t="shared" si="12"/>
        <v>Medium</v>
      </c>
    </row>
    <row r="32" spans="2:26" x14ac:dyDescent="0.2">
      <c r="B32" s="28" t="s">
        <v>340</v>
      </c>
      <c r="C32" s="28" t="s">
        <v>341</v>
      </c>
      <c r="D32" s="28" t="s">
        <v>274</v>
      </c>
      <c r="E32" s="28" t="str">
        <f>+_xlfn.XLOOKUP(D32,[1]Regiones!$B$4:$B$31,[1]Regiones!$G$4:$G$31)</f>
        <v>High</v>
      </c>
      <c r="F32" s="29">
        <f t="shared" si="0"/>
        <v>3</v>
      </c>
      <c r="G32" s="28">
        <f t="shared" si="3"/>
        <v>0.64290000000000003</v>
      </c>
      <c r="H32" s="28" t="s">
        <v>275</v>
      </c>
      <c r="I32" s="28">
        <f t="shared" si="4"/>
        <v>1</v>
      </c>
      <c r="J32" s="28">
        <f t="shared" si="5"/>
        <v>0.21429999999999999</v>
      </c>
      <c r="K32" s="28" t="s">
        <v>275</v>
      </c>
      <c r="L32" s="28">
        <f t="shared" si="6"/>
        <v>1</v>
      </c>
      <c r="M32" s="28">
        <f t="shared" si="7"/>
        <v>0.21429999999999999</v>
      </c>
      <c r="N32" s="28" t="s">
        <v>279</v>
      </c>
      <c r="O32" s="28">
        <f t="shared" si="1"/>
        <v>3</v>
      </c>
      <c r="P32" s="28">
        <f t="shared" si="8"/>
        <v>0.2142</v>
      </c>
      <c r="Q32" s="28" t="s">
        <v>279</v>
      </c>
      <c r="R32" s="28">
        <f t="shared" si="2"/>
        <v>3</v>
      </c>
      <c r="S32" s="28">
        <f t="shared" si="9"/>
        <v>0.42869999999999997</v>
      </c>
      <c r="T32" s="28" t="s">
        <v>276</v>
      </c>
      <c r="U32" s="28">
        <v>1</v>
      </c>
      <c r="V32" s="28">
        <f t="shared" si="10"/>
        <v>0.1429</v>
      </c>
      <c r="W32" s="30">
        <f t="shared" si="11"/>
        <v>1.8573</v>
      </c>
      <c r="X32" s="31">
        <f t="shared" si="13"/>
        <v>1.8573</v>
      </c>
      <c r="Y32" s="31">
        <v>2</v>
      </c>
      <c r="Z32" s="32" t="str">
        <f t="shared" si="12"/>
        <v>Medium</v>
      </c>
    </row>
    <row r="33" spans="2:26" x14ac:dyDescent="0.2">
      <c r="B33" s="28" t="s">
        <v>342</v>
      </c>
      <c r="C33" s="28" t="s">
        <v>343</v>
      </c>
      <c r="D33" s="28" t="s">
        <v>293</v>
      </c>
      <c r="E33" s="28" t="str">
        <f>+_xlfn.XLOOKUP(D33,[1]Regiones!$B$4:$B$31,[1]Regiones!$G$4:$G$31)</f>
        <v>High</v>
      </c>
      <c r="F33" s="29">
        <f t="shared" si="0"/>
        <v>3</v>
      </c>
      <c r="G33" s="28">
        <f t="shared" si="3"/>
        <v>0.64290000000000003</v>
      </c>
      <c r="H33" s="28" t="s">
        <v>275</v>
      </c>
      <c r="I33" s="28">
        <f t="shared" si="4"/>
        <v>1</v>
      </c>
      <c r="J33" s="28">
        <f t="shared" si="5"/>
        <v>0.21429999999999999</v>
      </c>
      <c r="K33" s="28" t="s">
        <v>275</v>
      </c>
      <c r="L33" s="28">
        <f t="shared" si="6"/>
        <v>1</v>
      </c>
      <c r="M33" s="28">
        <f t="shared" si="7"/>
        <v>0.21429999999999999</v>
      </c>
      <c r="N33" s="28" t="s">
        <v>275</v>
      </c>
      <c r="O33" s="28">
        <f t="shared" si="1"/>
        <v>1</v>
      </c>
      <c r="P33" s="28">
        <f t="shared" si="8"/>
        <v>7.1400000000000005E-2</v>
      </c>
      <c r="Q33" s="28" t="s">
        <v>275</v>
      </c>
      <c r="R33" s="28">
        <f t="shared" si="2"/>
        <v>1</v>
      </c>
      <c r="S33" s="28">
        <f t="shared" si="9"/>
        <v>0.1429</v>
      </c>
      <c r="T33" s="28" t="s">
        <v>276</v>
      </c>
      <c r="U33" s="28">
        <v>1</v>
      </c>
      <c r="V33" s="28">
        <f t="shared" si="10"/>
        <v>0.1429</v>
      </c>
      <c r="W33" s="30">
        <f t="shared" si="11"/>
        <v>1.4286999999999999</v>
      </c>
      <c r="X33" s="31">
        <f t="shared" si="13"/>
        <v>1.4286999999999999</v>
      </c>
      <c r="Y33" s="31">
        <v>1</v>
      </c>
      <c r="Z33" s="32" t="str">
        <f t="shared" si="12"/>
        <v>Low</v>
      </c>
    </row>
    <row r="34" spans="2:26" x14ac:dyDescent="0.2">
      <c r="B34" s="28" t="s">
        <v>344</v>
      </c>
      <c r="C34" s="28" t="s">
        <v>345</v>
      </c>
      <c r="D34" s="28" t="s">
        <v>293</v>
      </c>
      <c r="E34" s="28" t="str">
        <f>+_xlfn.XLOOKUP(D34,[1]Regiones!$B$4:$B$31,[1]Regiones!$G$4:$G$31)</f>
        <v>High</v>
      </c>
      <c r="F34" s="29">
        <f t="shared" si="0"/>
        <v>3</v>
      </c>
      <c r="G34" s="28">
        <f t="shared" si="3"/>
        <v>0.64290000000000003</v>
      </c>
      <c r="H34" s="28" t="s">
        <v>275</v>
      </c>
      <c r="I34" s="28">
        <f t="shared" si="4"/>
        <v>1</v>
      </c>
      <c r="J34" s="28">
        <f t="shared" si="5"/>
        <v>0.21429999999999999</v>
      </c>
      <c r="K34" s="28" t="s">
        <v>275</v>
      </c>
      <c r="L34" s="28">
        <f t="shared" si="6"/>
        <v>1</v>
      </c>
      <c r="M34" s="28">
        <f t="shared" si="7"/>
        <v>0.21429999999999999</v>
      </c>
      <c r="N34" s="28" t="s">
        <v>275</v>
      </c>
      <c r="O34" s="28">
        <f t="shared" si="1"/>
        <v>1</v>
      </c>
      <c r="P34" s="28">
        <f t="shared" si="8"/>
        <v>7.1400000000000005E-2</v>
      </c>
      <c r="Q34" s="28" t="s">
        <v>275</v>
      </c>
      <c r="R34" s="28">
        <f t="shared" si="2"/>
        <v>1</v>
      </c>
      <c r="S34" s="28">
        <f t="shared" si="9"/>
        <v>0.1429</v>
      </c>
      <c r="T34" s="28" t="s">
        <v>276</v>
      </c>
      <c r="U34" s="28">
        <v>1</v>
      </c>
      <c r="V34" s="28">
        <f t="shared" si="10"/>
        <v>0.1429</v>
      </c>
      <c r="W34" s="30">
        <f t="shared" si="11"/>
        <v>1.4286999999999999</v>
      </c>
      <c r="X34" s="31">
        <f t="shared" si="13"/>
        <v>1.4286999999999999</v>
      </c>
      <c r="Y34" s="31">
        <v>1</v>
      </c>
      <c r="Z34" s="32" t="str">
        <f t="shared" si="12"/>
        <v>Low</v>
      </c>
    </row>
    <row r="35" spans="2:26" x14ac:dyDescent="0.2">
      <c r="B35" s="28" t="s">
        <v>346</v>
      </c>
      <c r="C35" s="28" t="s">
        <v>347</v>
      </c>
      <c r="D35" s="28" t="s">
        <v>274</v>
      </c>
      <c r="E35" s="28" t="str">
        <f>+_xlfn.XLOOKUP(D35,[1]Regiones!$B$4:$B$31,[1]Regiones!$G$4:$G$31)</f>
        <v>High</v>
      </c>
      <c r="F35" s="29">
        <f t="shared" si="0"/>
        <v>3</v>
      </c>
      <c r="G35" s="28">
        <f t="shared" si="3"/>
        <v>0.64290000000000003</v>
      </c>
      <c r="H35" s="28" t="s">
        <v>275</v>
      </c>
      <c r="I35" s="28">
        <f t="shared" si="4"/>
        <v>1</v>
      </c>
      <c r="J35" s="28">
        <f t="shared" si="5"/>
        <v>0.21429999999999999</v>
      </c>
      <c r="K35" s="28" t="s">
        <v>275</v>
      </c>
      <c r="L35" s="28">
        <f t="shared" si="6"/>
        <v>1</v>
      </c>
      <c r="M35" s="28">
        <f t="shared" si="7"/>
        <v>0.21429999999999999</v>
      </c>
      <c r="N35" s="28" t="s">
        <v>275</v>
      </c>
      <c r="O35" s="28">
        <f t="shared" si="1"/>
        <v>1</v>
      </c>
      <c r="P35" s="28">
        <f t="shared" si="8"/>
        <v>7.1400000000000005E-2</v>
      </c>
      <c r="Q35" s="28" t="s">
        <v>275</v>
      </c>
      <c r="R35" s="28">
        <f t="shared" si="2"/>
        <v>1</v>
      </c>
      <c r="S35" s="28">
        <f t="shared" si="9"/>
        <v>0.1429</v>
      </c>
      <c r="T35" s="28" t="s">
        <v>276</v>
      </c>
      <c r="U35" s="28">
        <v>1</v>
      </c>
      <c r="V35" s="28">
        <f t="shared" si="10"/>
        <v>0.1429</v>
      </c>
      <c r="W35" s="30">
        <f t="shared" si="11"/>
        <v>1.4286999999999999</v>
      </c>
      <c r="X35" s="31">
        <f t="shared" si="13"/>
        <v>1.4286999999999999</v>
      </c>
      <c r="Y35" s="31">
        <v>1</v>
      </c>
      <c r="Z35" s="32" t="str">
        <f t="shared" si="12"/>
        <v>Low</v>
      </c>
    </row>
    <row r="36" spans="2:26" x14ac:dyDescent="0.2">
      <c r="B36" s="28" t="s">
        <v>348</v>
      </c>
      <c r="C36" s="28" t="s">
        <v>349</v>
      </c>
      <c r="D36" s="28" t="s">
        <v>274</v>
      </c>
      <c r="E36" s="28" t="str">
        <f>+_xlfn.XLOOKUP(D36,[1]Regiones!$B$4:$B$31,[1]Regiones!$G$4:$G$31)</f>
        <v>High</v>
      </c>
      <c r="F36" s="29">
        <f t="shared" si="0"/>
        <v>3</v>
      </c>
      <c r="G36" s="28">
        <f t="shared" si="3"/>
        <v>0.64290000000000003</v>
      </c>
      <c r="H36" s="28" t="s">
        <v>275</v>
      </c>
      <c r="I36" s="28">
        <f t="shared" si="4"/>
        <v>1</v>
      </c>
      <c r="J36" s="28">
        <f t="shared" si="5"/>
        <v>0.21429999999999999</v>
      </c>
      <c r="K36" s="28" t="s">
        <v>275</v>
      </c>
      <c r="L36" s="28">
        <f t="shared" si="6"/>
        <v>1</v>
      </c>
      <c r="M36" s="28">
        <f t="shared" si="7"/>
        <v>0.21429999999999999</v>
      </c>
      <c r="N36" s="28" t="s">
        <v>275</v>
      </c>
      <c r="O36" s="28">
        <f t="shared" si="1"/>
        <v>1</v>
      </c>
      <c r="P36" s="28">
        <f t="shared" si="8"/>
        <v>7.1400000000000005E-2</v>
      </c>
      <c r="Q36" s="28" t="s">
        <v>275</v>
      </c>
      <c r="R36" s="28">
        <f t="shared" si="2"/>
        <v>1</v>
      </c>
      <c r="S36" s="28">
        <f t="shared" si="9"/>
        <v>0.1429</v>
      </c>
      <c r="T36" s="28" t="s">
        <v>276</v>
      </c>
      <c r="U36" s="28">
        <v>1</v>
      </c>
      <c r="V36" s="28">
        <f t="shared" si="10"/>
        <v>0.1429</v>
      </c>
      <c r="W36" s="30">
        <f t="shared" si="11"/>
        <v>1.4286999999999999</v>
      </c>
      <c r="X36" s="31">
        <f t="shared" si="13"/>
        <v>1.4286999999999999</v>
      </c>
      <c r="Y36" s="31">
        <v>1</v>
      </c>
      <c r="Z36" s="32" t="str">
        <f t="shared" si="12"/>
        <v>Low</v>
      </c>
    </row>
    <row r="37" spans="2:26" x14ac:dyDescent="0.2">
      <c r="B37" s="28" t="s">
        <v>350</v>
      </c>
      <c r="C37" s="28" t="s">
        <v>351</v>
      </c>
      <c r="D37" s="28" t="s">
        <v>274</v>
      </c>
      <c r="E37" s="28" t="str">
        <f>+_xlfn.XLOOKUP(D37,[1]Regiones!$B$4:$B$31,[1]Regiones!$G$4:$G$31)</f>
        <v>High</v>
      </c>
      <c r="F37" s="29">
        <f t="shared" si="0"/>
        <v>3</v>
      </c>
      <c r="G37" s="28">
        <f t="shared" si="3"/>
        <v>0.64290000000000003</v>
      </c>
      <c r="H37" s="28" t="s">
        <v>275</v>
      </c>
      <c r="I37" s="28">
        <f t="shared" si="4"/>
        <v>1</v>
      </c>
      <c r="J37" s="28">
        <f t="shared" si="5"/>
        <v>0.21429999999999999</v>
      </c>
      <c r="K37" s="28" t="s">
        <v>275</v>
      </c>
      <c r="L37" s="28">
        <f t="shared" si="6"/>
        <v>1</v>
      </c>
      <c r="M37" s="28">
        <f t="shared" si="7"/>
        <v>0.21429999999999999</v>
      </c>
      <c r="N37" s="28" t="s">
        <v>275</v>
      </c>
      <c r="O37" s="28">
        <f t="shared" si="1"/>
        <v>1</v>
      </c>
      <c r="P37" s="28">
        <f t="shared" si="8"/>
        <v>7.1400000000000005E-2</v>
      </c>
      <c r="Q37" s="28" t="s">
        <v>275</v>
      </c>
      <c r="R37" s="28">
        <f t="shared" si="2"/>
        <v>1</v>
      </c>
      <c r="S37" s="28">
        <f t="shared" si="9"/>
        <v>0.1429</v>
      </c>
      <c r="T37" s="28" t="s">
        <v>276</v>
      </c>
      <c r="U37" s="28">
        <v>1</v>
      </c>
      <c r="V37" s="28">
        <f t="shared" si="10"/>
        <v>0.1429</v>
      </c>
      <c r="W37" s="30">
        <f t="shared" si="11"/>
        <v>1.4286999999999999</v>
      </c>
      <c r="X37" s="31">
        <f t="shared" si="13"/>
        <v>1.4286999999999999</v>
      </c>
      <c r="Y37" s="31">
        <v>1</v>
      </c>
      <c r="Z37" s="32" t="str">
        <f t="shared" si="12"/>
        <v>Low</v>
      </c>
    </row>
    <row r="38" spans="2:26" x14ac:dyDescent="0.2">
      <c r="B38" s="28" t="s">
        <v>352</v>
      </c>
      <c r="C38" s="28" t="s">
        <v>353</v>
      </c>
      <c r="D38" s="28" t="s">
        <v>274</v>
      </c>
      <c r="E38" s="28" t="str">
        <f>+_xlfn.XLOOKUP(D38,[1]Regiones!$B$4:$B$31,[1]Regiones!$G$4:$G$31)</f>
        <v>High</v>
      </c>
      <c r="F38" s="29">
        <f t="shared" si="0"/>
        <v>3</v>
      </c>
      <c r="G38" s="28">
        <f t="shared" si="3"/>
        <v>0.64290000000000003</v>
      </c>
      <c r="H38" s="28" t="s">
        <v>275</v>
      </c>
      <c r="I38" s="28">
        <f t="shared" si="4"/>
        <v>1</v>
      </c>
      <c r="J38" s="28">
        <f t="shared" si="5"/>
        <v>0.21429999999999999</v>
      </c>
      <c r="K38" s="28" t="s">
        <v>279</v>
      </c>
      <c r="L38" s="28">
        <f t="shared" si="6"/>
        <v>3</v>
      </c>
      <c r="M38" s="28">
        <f t="shared" si="7"/>
        <v>0.64290000000000003</v>
      </c>
      <c r="N38" s="28" t="s">
        <v>275</v>
      </c>
      <c r="O38" s="28">
        <f t="shared" si="1"/>
        <v>1</v>
      </c>
      <c r="P38" s="28">
        <f t="shared" si="8"/>
        <v>7.1400000000000005E-2</v>
      </c>
      <c r="Q38" s="28" t="s">
        <v>275</v>
      </c>
      <c r="R38" s="28">
        <f t="shared" si="2"/>
        <v>1</v>
      </c>
      <c r="S38" s="28">
        <f t="shared" si="9"/>
        <v>0.1429</v>
      </c>
      <c r="T38" s="28" t="s">
        <v>276</v>
      </c>
      <c r="U38" s="28">
        <v>1</v>
      </c>
      <c r="V38" s="28">
        <f t="shared" si="10"/>
        <v>0.1429</v>
      </c>
      <c r="W38" s="30">
        <f t="shared" si="11"/>
        <v>1.8573</v>
      </c>
      <c r="X38" s="31">
        <f t="shared" si="13"/>
        <v>1.8573</v>
      </c>
      <c r="Y38" s="31">
        <v>2</v>
      </c>
      <c r="Z38" s="32" t="str">
        <f t="shared" si="12"/>
        <v>Medium</v>
      </c>
    </row>
    <row r="39" spans="2:26" x14ac:dyDescent="0.2">
      <c r="B39" s="28" t="s">
        <v>354</v>
      </c>
      <c r="C39" s="28" t="s">
        <v>355</v>
      </c>
      <c r="D39" s="28" t="s">
        <v>274</v>
      </c>
      <c r="E39" s="28" t="str">
        <f>+_xlfn.XLOOKUP(D39,[1]Regiones!$B$4:$B$31,[1]Regiones!$G$4:$G$31)</f>
        <v>High</v>
      </c>
      <c r="F39" s="29">
        <f t="shared" si="0"/>
        <v>3</v>
      </c>
      <c r="G39" s="28">
        <f t="shared" si="3"/>
        <v>0.64290000000000003</v>
      </c>
      <c r="H39" s="28" t="s">
        <v>275</v>
      </c>
      <c r="I39" s="28">
        <f t="shared" si="4"/>
        <v>1</v>
      </c>
      <c r="J39" s="28">
        <f t="shared" si="5"/>
        <v>0.21429999999999999</v>
      </c>
      <c r="K39" s="28" t="s">
        <v>279</v>
      </c>
      <c r="L39" s="28">
        <f t="shared" si="6"/>
        <v>3</v>
      </c>
      <c r="M39" s="28">
        <f t="shared" si="7"/>
        <v>0.64290000000000003</v>
      </c>
      <c r="N39" s="28" t="s">
        <v>279</v>
      </c>
      <c r="O39" s="28">
        <f t="shared" si="1"/>
        <v>3</v>
      </c>
      <c r="P39" s="28">
        <f t="shared" si="8"/>
        <v>0.2142</v>
      </c>
      <c r="Q39" s="28" t="s">
        <v>279</v>
      </c>
      <c r="R39" s="28">
        <f t="shared" si="2"/>
        <v>3</v>
      </c>
      <c r="S39" s="28">
        <f t="shared" si="9"/>
        <v>0.42869999999999997</v>
      </c>
      <c r="T39" s="28" t="s">
        <v>280</v>
      </c>
      <c r="U39" s="28">
        <v>3</v>
      </c>
      <c r="V39" s="28">
        <f t="shared" si="10"/>
        <v>0.42869999999999997</v>
      </c>
      <c r="W39" s="30">
        <f t="shared" si="11"/>
        <v>2.5716999999999999</v>
      </c>
      <c r="X39" s="31">
        <f t="shared" si="13"/>
        <v>2.5716999999999999</v>
      </c>
      <c r="Y39" s="31">
        <v>3</v>
      </c>
      <c r="Z39" s="32" t="str">
        <f t="shared" si="12"/>
        <v>High</v>
      </c>
    </row>
    <row r="40" spans="2:26" x14ac:dyDescent="0.2">
      <c r="B40" s="28" t="s">
        <v>356</v>
      </c>
      <c r="C40" s="28" t="s">
        <v>357</v>
      </c>
      <c r="D40" s="28" t="s">
        <v>358</v>
      </c>
      <c r="E40" s="28" t="str">
        <f>+_xlfn.XLOOKUP(D40,[1]Regiones!$B$4:$B$31,[1]Regiones!$G$4:$G$31)</f>
        <v>High</v>
      </c>
      <c r="F40" s="29">
        <f t="shared" si="0"/>
        <v>3</v>
      </c>
      <c r="G40" s="28">
        <f t="shared" si="3"/>
        <v>0.64290000000000003</v>
      </c>
      <c r="H40" s="28" t="s">
        <v>275</v>
      </c>
      <c r="I40" s="28">
        <f t="shared" si="4"/>
        <v>1</v>
      </c>
      <c r="J40" s="28">
        <f t="shared" si="5"/>
        <v>0.21429999999999999</v>
      </c>
      <c r="K40" s="28" t="s">
        <v>275</v>
      </c>
      <c r="L40" s="28">
        <f t="shared" si="6"/>
        <v>1</v>
      </c>
      <c r="M40" s="28">
        <f t="shared" si="7"/>
        <v>0.21429999999999999</v>
      </c>
      <c r="N40" s="28" t="s">
        <v>275</v>
      </c>
      <c r="O40" s="28">
        <f t="shared" si="1"/>
        <v>1</v>
      </c>
      <c r="P40" s="28">
        <f t="shared" si="8"/>
        <v>7.1400000000000005E-2</v>
      </c>
      <c r="Q40" s="28" t="s">
        <v>275</v>
      </c>
      <c r="R40" s="28">
        <f t="shared" si="2"/>
        <v>1</v>
      </c>
      <c r="S40" s="28">
        <f t="shared" si="9"/>
        <v>0.1429</v>
      </c>
      <c r="T40" s="28" t="s">
        <v>276</v>
      </c>
      <c r="U40" s="28">
        <v>1</v>
      </c>
      <c r="V40" s="28">
        <f t="shared" si="10"/>
        <v>0.1429</v>
      </c>
      <c r="W40" s="30">
        <f t="shared" si="11"/>
        <v>1.4286999999999999</v>
      </c>
      <c r="X40" s="31">
        <f t="shared" si="13"/>
        <v>1.4286999999999999</v>
      </c>
      <c r="Y40" s="31">
        <v>1</v>
      </c>
      <c r="Z40" s="32" t="str">
        <f t="shared" si="12"/>
        <v>Low</v>
      </c>
    </row>
    <row r="41" spans="2:26" x14ac:dyDescent="0.2">
      <c r="B41" s="28" t="s">
        <v>359</v>
      </c>
      <c r="C41" s="28" t="s">
        <v>360</v>
      </c>
      <c r="D41" s="28" t="s">
        <v>274</v>
      </c>
      <c r="E41" s="28" t="str">
        <f>+_xlfn.XLOOKUP(D41,[1]Regiones!$B$4:$B$31,[1]Regiones!$G$4:$G$31)</f>
        <v>High</v>
      </c>
      <c r="F41" s="29">
        <f t="shared" si="0"/>
        <v>3</v>
      </c>
      <c r="G41" s="28">
        <f t="shared" si="3"/>
        <v>0.64290000000000003</v>
      </c>
      <c r="H41" s="28" t="s">
        <v>275</v>
      </c>
      <c r="I41" s="28">
        <f t="shared" si="4"/>
        <v>1</v>
      </c>
      <c r="J41" s="28">
        <f t="shared" si="5"/>
        <v>0.21429999999999999</v>
      </c>
      <c r="K41" s="28" t="s">
        <v>275</v>
      </c>
      <c r="L41" s="28">
        <f t="shared" si="6"/>
        <v>1</v>
      </c>
      <c r="M41" s="28">
        <f t="shared" si="7"/>
        <v>0.21429999999999999</v>
      </c>
      <c r="N41" s="28" t="s">
        <v>275</v>
      </c>
      <c r="O41" s="28">
        <f t="shared" si="1"/>
        <v>1</v>
      </c>
      <c r="P41" s="28">
        <f t="shared" si="8"/>
        <v>7.1400000000000005E-2</v>
      </c>
      <c r="Q41" s="28" t="s">
        <v>275</v>
      </c>
      <c r="R41" s="28">
        <f t="shared" si="2"/>
        <v>1</v>
      </c>
      <c r="S41" s="28">
        <f t="shared" si="9"/>
        <v>0.1429</v>
      </c>
      <c r="T41" s="28" t="s">
        <v>276</v>
      </c>
      <c r="U41" s="28">
        <v>1</v>
      </c>
      <c r="V41" s="28">
        <f t="shared" si="10"/>
        <v>0.1429</v>
      </c>
      <c r="W41" s="30">
        <f t="shared" si="11"/>
        <v>1.4286999999999999</v>
      </c>
      <c r="X41" s="31">
        <f t="shared" si="13"/>
        <v>1.4286999999999999</v>
      </c>
      <c r="Y41" s="31">
        <v>1</v>
      </c>
      <c r="Z41" s="32" t="str">
        <f t="shared" si="12"/>
        <v>Low</v>
      </c>
    </row>
    <row r="42" spans="2:26" x14ac:dyDescent="0.2">
      <c r="B42" s="28" t="s">
        <v>361</v>
      </c>
      <c r="C42" s="28" t="s">
        <v>362</v>
      </c>
      <c r="D42" s="28" t="s">
        <v>363</v>
      </c>
      <c r="E42" s="28" t="str">
        <f>+_xlfn.XLOOKUP(D42,[1]Regiones!$B$4:$B$31,[1]Regiones!$G$4:$G$31)</f>
        <v>Low</v>
      </c>
      <c r="F42" s="29">
        <f t="shared" si="0"/>
        <v>1</v>
      </c>
      <c r="G42" s="28">
        <f t="shared" si="3"/>
        <v>0.21429999999999999</v>
      </c>
      <c r="H42" s="28" t="s">
        <v>275</v>
      </c>
      <c r="I42" s="28">
        <f t="shared" si="4"/>
        <v>1</v>
      </c>
      <c r="J42" s="28">
        <f t="shared" si="5"/>
        <v>0.21429999999999999</v>
      </c>
      <c r="K42" s="28" t="s">
        <v>275</v>
      </c>
      <c r="L42" s="28">
        <f t="shared" si="6"/>
        <v>1</v>
      </c>
      <c r="M42" s="28">
        <f t="shared" si="7"/>
        <v>0.21429999999999999</v>
      </c>
      <c r="N42" s="28" t="s">
        <v>275</v>
      </c>
      <c r="O42" s="28">
        <f t="shared" si="1"/>
        <v>1</v>
      </c>
      <c r="P42" s="28">
        <f t="shared" si="8"/>
        <v>7.1400000000000005E-2</v>
      </c>
      <c r="Q42" s="28" t="s">
        <v>275</v>
      </c>
      <c r="R42" s="28">
        <f t="shared" si="2"/>
        <v>1</v>
      </c>
      <c r="S42" s="28">
        <f t="shared" si="9"/>
        <v>0.1429</v>
      </c>
      <c r="T42" s="28" t="s">
        <v>276</v>
      </c>
      <c r="U42" s="28">
        <v>1</v>
      </c>
      <c r="V42" s="28">
        <f t="shared" si="10"/>
        <v>0.1429</v>
      </c>
      <c r="W42" s="30">
        <f t="shared" si="11"/>
        <v>1.0001</v>
      </c>
      <c r="X42" s="31">
        <f t="shared" si="13"/>
        <v>1.0001</v>
      </c>
      <c r="Y42" s="31">
        <v>1</v>
      </c>
      <c r="Z42" s="32" t="str">
        <f t="shared" si="12"/>
        <v>Low</v>
      </c>
    </row>
    <row r="43" spans="2:26" x14ac:dyDescent="0.2">
      <c r="B43" s="28" t="s">
        <v>364</v>
      </c>
      <c r="C43" s="28" t="s">
        <v>365</v>
      </c>
      <c r="D43" s="28" t="s">
        <v>312</v>
      </c>
      <c r="E43" s="28" t="str">
        <f>+_xlfn.XLOOKUP(D43,[1]Regiones!$B$4:$B$31,[1]Regiones!$G$4:$G$31)</f>
        <v>High</v>
      </c>
      <c r="F43" s="29">
        <f t="shared" si="0"/>
        <v>3</v>
      </c>
      <c r="G43" s="28">
        <f t="shared" si="3"/>
        <v>0.64290000000000003</v>
      </c>
      <c r="H43" s="28" t="s">
        <v>275</v>
      </c>
      <c r="I43" s="28">
        <f t="shared" si="4"/>
        <v>1</v>
      </c>
      <c r="J43" s="28">
        <f t="shared" si="5"/>
        <v>0.21429999999999999</v>
      </c>
      <c r="K43" s="28" t="s">
        <v>275</v>
      </c>
      <c r="L43" s="28">
        <f t="shared" si="6"/>
        <v>1</v>
      </c>
      <c r="M43" s="28">
        <f t="shared" si="7"/>
        <v>0.21429999999999999</v>
      </c>
      <c r="N43" s="28" t="s">
        <v>275</v>
      </c>
      <c r="O43" s="28">
        <f t="shared" si="1"/>
        <v>1</v>
      </c>
      <c r="P43" s="28">
        <f t="shared" si="8"/>
        <v>7.1400000000000005E-2</v>
      </c>
      <c r="Q43" s="28" t="s">
        <v>275</v>
      </c>
      <c r="R43" s="28">
        <f t="shared" si="2"/>
        <v>1</v>
      </c>
      <c r="S43" s="28">
        <f t="shared" si="9"/>
        <v>0.1429</v>
      </c>
      <c r="T43" s="28" t="s">
        <v>276</v>
      </c>
      <c r="U43" s="28">
        <v>1</v>
      </c>
      <c r="V43" s="28">
        <f t="shared" si="10"/>
        <v>0.1429</v>
      </c>
      <c r="W43" s="30">
        <f t="shared" si="11"/>
        <v>1.4286999999999999</v>
      </c>
      <c r="X43" s="31">
        <f t="shared" si="13"/>
        <v>1.4286999999999999</v>
      </c>
      <c r="Y43" s="31">
        <v>1</v>
      </c>
      <c r="Z43" s="32" t="str">
        <f t="shared" si="12"/>
        <v>Low</v>
      </c>
    </row>
    <row r="44" spans="2:26" x14ac:dyDescent="0.2">
      <c r="B44" s="28" t="s">
        <v>366</v>
      </c>
      <c r="C44" s="28" t="s">
        <v>367</v>
      </c>
      <c r="D44" s="28" t="s">
        <v>274</v>
      </c>
      <c r="E44" s="28" t="str">
        <f>+_xlfn.XLOOKUP(D44,[1]Regiones!$B$4:$B$31,[1]Regiones!$G$4:$G$31)</f>
        <v>High</v>
      </c>
      <c r="F44" s="29">
        <f t="shared" si="0"/>
        <v>3</v>
      </c>
      <c r="G44" s="28">
        <f t="shared" si="3"/>
        <v>0.64290000000000003</v>
      </c>
      <c r="H44" s="28" t="s">
        <v>275</v>
      </c>
      <c r="I44" s="28">
        <f t="shared" si="4"/>
        <v>1</v>
      </c>
      <c r="J44" s="28">
        <f t="shared" si="5"/>
        <v>0.21429999999999999</v>
      </c>
      <c r="K44" s="28" t="s">
        <v>279</v>
      </c>
      <c r="L44" s="28">
        <f t="shared" si="6"/>
        <v>3</v>
      </c>
      <c r="M44" s="28">
        <f t="shared" si="7"/>
        <v>0.64290000000000003</v>
      </c>
      <c r="N44" s="28" t="s">
        <v>275</v>
      </c>
      <c r="O44" s="28">
        <f t="shared" si="1"/>
        <v>1</v>
      </c>
      <c r="P44" s="28">
        <f t="shared" si="8"/>
        <v>7.1400000000000005E-2</v>
      </c>
      <c r="Q44" s="28" t="s">
        <v>275</v>
      </c>
      <c r="R44" s="28">
        <f t="shared" si="2"/>
        <v>1</v>
      </c>
      <c r="S44" s="28">
        <f t="shared" si="9"/>
        <v>0.1429</v>
      </c>
      <c r="T44" s="28" t="s">
        <v>368</v>
      </c>
      <c r="U44" s="28">
        <v>3</v>
      </c>
      <c r="V44" s="28">
        <f t="shared" si="10"/>
        <v>0.42869999999999997</v>
      </c>
      <c r="W44" s="30">
        <f t="shared" si="11"/>
        <v>2.1431</v>
      </c>
      <c r="X44" s="31">
        <f t="shared" si="13"/>
        <v>2.1431</v>
      </c>
      <c r="Y44" s="31">
        <v>2</v>
      </c>
      <c r="Z44" s="32" t="str">
        <f t="shared" si="12"/>
        <v>Medium</v>
      </c>
    </row>
    <row r="45" spans="2:26" x14ac:dyDescent="0.2">
      <c r="B45" s="28" t="s">
        <v>369</v>
      </c>
      <c r="C45" s="28" t="s">
        <v>370</v>
      </c>
      <c r="D45" s="28" t="s">
        <v>274</v>
      </c>
      <c r="E45" s="28" t="str">
        <f>+_xlfn.XLOOKUP(D45,[1]Regiones!$B$4:$B$31,[1]Regiones!$G$4:$G$31)</f>
        <v>High</v>
      </c>
      <c r="F45" s="29">
        <f t="shared" si="0"/>
        <v>3</v>
      </c>
      <c r="G45" s="28">
        <f t="shared" si="3"/>
        <v>0.64290000000000003</v>
      </c>
      <c r="H45" s="28" t="s">
        <v>275</v>
      </c>
      <c r="I45" s="28">
        <f t="shared" si="4"/>
        <v>1</v>
      </c>
      <c r="J45" s="28">
        <f t="shared" si="5"/>
        <v>0.21429999999999999</v>
      </c>
      <c r="K45" s="28" t="s">
        <v>275</v>
      </c>
      <c r="L45" s="28">
        <f t="shared" si="6"/>
        <v>1</v>
      </c>
      <c r="M45" s="28">
        <f t="shared" si="7"/>
        <v>0.21429999999999999</v>
      </c>
      <c r="N45" s="28" t="s">
        <v>275</v>
      </c>
      <c r="O45" s="28">
        <f t="shared" si="1"/>
        <v>1</v>
      </c>
      <c r="P45" s="28">
        <f t="shared" si="8"/>
        <v>7.1400000000000005E-2</v>
      </c>
      <c r="Q45" s="28" t="s">
        <v>275</v>
      </c>
      <c r="R45" s="28">
        <f t="shared" si="2"/>
        <v>1</v>
      </c>
      <c r="S45" s="28">
        <f t="shared" si="9"/>
        <v>0.1429</v>
      </c>
      <c r="T45" s="28" t="s">
        <v>276</v>
      </c>
      <c r="U45" s="28">
        <v>1</v>
      </c>
      <c r="V45" s="28">
        <f t="shared" si="10"/>
        <v>0.1429</v>
      </c>
      <c r="W45" s="30">
        <f t="shared" si="11"/>
        <v>1.4286999999999999</v>
      </c>
      <c r="X45" s="31">
        <f t="shared" si="13"/>
        <v>1.4286999999999999</v>
      </c>
      <c r="Y45" s="31">
        <v>1</v>
      </c>
      <c r="Z45" s="32" t="str">
        <f t="shared" si="12"/>
        <v>Low</v>
      </c>
    </row>
    <row r="46" spans="2:26" x14ac:dyDescent="0.2">
      <c r="B46" s="28" t="s">
        <v>371</v>
      </c>
      <c r="C46" s="28" t="s">
        <v>372</v>
      </c>
      <c r="D46" s="28" t="s">
        <v>312</v>
      </c>
      <c r="E46" s="28" t="str">
        <f>+_xlfn.XLOOKUP(D46,[1]Regiones!$B$4:$B$31,[1]Regiones!$G$4:$G$31)</f>
        <v>High</v>
      </c>
      <c r="F46" s="29">
        <f t="shared" si="0"/>
        <v>3</v>
      </c>
      <c r="G46" s="28">
        <f t="shared" si="3"/>
        <v>0.64290000000000003</v>
      </c>
      <c r="H46" s="28" t="s">
        <v>275</v>
      </c>
      <c r="I46" s="28">
        <f t="shared" si="4"/>
        <v>1</v>
      </c>
      <c r="J46" s="28">
        <f t="shared" si="5"/>
        <v>0.21429999999999999</v>
      </c>
      <c r="K46" s="28" t="s">
        <v>275</v>
      </c>
      <c r="L46" s="28">
        <f t="shared" si="6"/>
        <v>1</v>
      </c>
      <c r="M46" s="28">
        <f t="shared" si="7"/>
        <v>0.21429999999999999</v>
      </c>
      <c r="N46" s="28" t="s">
        <v>275</v>
      </c>
      <c r="O46" s="28">
        <f t="shared" si="1"/>
        <v>1</v>
      </c>
      <c r="P46" s="28">
        <f t="shared" si="8"/>
        <v>7.1400000000000005E-2</v>
      </c>
      <c r="Q46" s="28" t="s">
        <v>275</v>
      </c>
      <c r="R46" s="28">
        <f t="shared" si="2"/>
        <v>1</v>
      </c>
      <c r="S46" s="28">
        <f t="shared" si="9"/>
        <v>0.1429</v>
      </c>
      <c r="T46" s="28" t="s">
        <v>276</v>
      </c>
      <c r="U46" s="28">
        <v>1</v>
      </c>
      <c r="V46" s="28">
        <f t="shared" si="10"/>
        <v>0.1429</v>
      </c>
      <c r="W46" s="30">
        <f t="shared" si="11"/>
        <v>1.4286999999999999</v>
      </c>
      <c r="X46" s="31">
        <f t="shared" si="13"/>
        <v>1.4286999999999999</v>
      </c>
      <c r="Y46" s="31">
        <v>1</v>
      </c>
      <c r="Z46" s="32" t="str">
        <f t="shared" si="12"/>
        <v>Low</v>
      </c>
    </row>
    <row r="47" spans="2:26" x14ac:dyDescent="0.2">
      <c r="B47" s="28" t="s">
        <v>373</v>
      </c>
      <c r="C47" s="28" t="s">
        <v>374</v>
      </c>
      <c r="D47" s="28" t="s">
        <v>274</v>
      </c>
      <c r="E47" s="28" t="str">
        <f>+_xlfn.XLOOKUP(D47,[1]Regiones!$B$4:$B$31,[1]Regiones!$G$4:$G$31)</f>
        <v>High</v>
      </c>
      <c r="F47" s="29">
        <f t="shared" si="0"/>
        <v>3</v>
      </c>
      <c r="G47" s="28">
        <f t="shared" si="3"/>
        <v>0.64290000000000003</v>
      </c>
      <c r="H47" s="28" t="s">
        <v>275</v>
      </c>
      <c r="I47" s="28">
        <f t="shared" si="4"/>
        <v>1</v>
      </c>
      <c r="J47" s="28">
        <f t="shared" si="5"/>
        <v>0.21429999999999999</v>
      </c>
      <c r="K47" s="28" t="s">
        <v>279</v>
      </c>
      <c r="L47" s="28">
        <f t="shared" si="6"/>
        <v>3</v>
      </c>
      <c r="M47" s="28">
        <f t="shared" si="7"/>
        <v>0.64290000000000003</v>
      </c>
      <c r="N47" s="28" t="s">
        <v>275</v>
      </c>
      <c r="O47" s="28">
        <f t="shared" si="1"/>
        <v>1</v>
      </c>
      <c r="P47" s="28">
        <f t="shared" si="8"/>
        <v>7.1400000000000005E-2</v>
      </c>
      <c r="Q47" s="28" t="s">
        <v>275</v>
      </c>
      <c r="R47" s="28">
        <f t="shared" si="2"/>
        <v>1</v>
      </c>
      <c r="S47" s="28">
        <f t="shared" si="9"/>
        <v>0.1429</v>
      </c>
      <c r="T47" s="28" t="s">
        <v>276</v>
      </c>
      <c r="U47" s="28">
        <v>1</v>
      </c>
      <c r="V47" s="28">
        <f t="shared" si="10"/>
        <v>0.1429</v>
      </c>
      <c r="W47" s="30">
        <f t="shared" si="11"/>
        <v>1.8573</v>
      </c>
      <c r="X47" s="31">
        <f t="shared" si="13"/>
        <v>1.8573</v>
      </c>
      <c r="Y47" s="31">
        <v>2</v>
      </c>
      <c r="Z47" s="32" t="str">
        <f t="shared" si="12"/>
        <v>Medium</v>
      </c>
    </row>
    <row r="48" spans="2:26" x14ac:dyDescent="0.2">
      <c r="B48" s="28" t="s">
        <v>375</v>
      </c>
      <c r="C48" s="28" t="s">
        <v>376</v>
      </c>
      <c r="D48" s="28" t="s">
        <v>274</v>
      </c>
      <c r="E48" s="28" t="str">
        <f>+_xlfn.XLOOKUP(D48,[1]Regiones!$B$4:$B$31,[1]Regiones!$G$4:$G$31)</f>
        <v>High</v>
      </c>
      <c r="F48" s="29">
        <f t="shared" si="0"/>
        <v>3</v>
      </c>
      <c r="G48" s="28">
        <f t="shared" si="3"/>
        <v>0.64290000000000003</v>
      </c>
      <c r="H48" s="28" t="s">
        <v>275</v>
      </c>
      <c r="I48" s="28">
        <f t="shared" si="4"/>
        <v>1</v>
      </c>
      <c r="J48" s="28">
        <f t="shared" si="5"/>
        <v>0.21429999999999999</v>
      </c>
      <c r="K48" s="28" t="s">
        <v>275</v>
      </c>
      <c r="L48" s="28">
        <f t="shared" si="6"/>
        <v>1</v>
      </c>
      <c r="M48" s="28">
        <f t="shared" si="7"/>
        <v>0.21429999999999999</v>
      </c>
      <c r="N48" s="28" t="s">
        <v>275</v>
      </c>
      <c r="O48" s="28">
        <f t="shared" si="1"/>
        <v>1</v>
      </c>
      <c r="P48" s="28">
        <f t="shared" si="8"/>
        <v>7.1400000000000005E-2</v>
      </c>
      <c r="Q48" s="28" t="s">
        <v>275</v>
      </c>
      <c r="R48" s="28">
        <f t="shared" si="2"/>
        <v>1</v>
      </c>
      <c r="S48" s="28">
        <f t="shared" si="9"/>
        <v>0.1429</v>
      </c>
      <c r="T48" s="28" t="s">
        <v>276</v>
      </c>
      <c r="U48" s="28">
        <v>1</v>
      </c>
      <c r="V48" s="28">
        <f t="shared" si="10"/>
        <v>0.1429</v>
      </c>
      <c r="W48" s="30">
        <f t="shared" si="11"/>
        <v>1.4286999999999999</v>
      </c>
      <c r="X48" s="31">
        <f t="shared" si="13"/>
        <v>1.4286999999999999</v>
      </c>
      <c r="Y48" s="31">
        <v>1</v>
      </c>
      <c r="Z48" s="32" t="str">
        <f t="shared" si="12"/>
        <v>Low</v>
      </c>
    </row>
    <row r="49" spans="2:26" x14ac:dyDescent="0.2">
      <c r="B49" s="28" t="s">
        <v>377</v>
      </c>
      <c r="C49" s="28" t="s">
        <v>378</v>
      </c>
      <c r="D49" s="28" t="s">
        <v>312</v>
      </c>
      <c r="E49" s="28" t="str">
        <f>+_xlfn.XLOOKUP(D49,[1]Regiones!$B$4:$B$31,[1]Regiones!$G$4:$G$31)</f>
        <v>High</v>
      </c>
      <c r="F49" s="29">
        <f t="shared" si="0"/>
        <v>3</v>
      </c>
      <c r="G49" s="28">
        <f t="shared" si="3"/>
        <v>0.64290000000000003</v>
      </c>
      <c r="H49" s="28" t="s">
        <v>275</v>
      </c>
      <c r="I49" s="28">
        <f t="shared" si="4"/>
        <v>1</v>
      </c>
      <c r="J49" s="28">
        <f t="shared" si="5"/>
        <v>0.21429999999999999</v>
      </c>
      <c r="K49" s="28" t="s">
        <v>275</v>
      </c>
      <c r="L49" s="28">
        <f t="shared" si="6"/>
        <v>1</v>
      </c>
      <c r="M49" s="28">
        <f t="shared" si="7"/>
        <v>0.21429999999999999</v>
      </c>
      <c r="N49" s="28" t="s">
        <v>275</v>
      </c>
      <c r="O49" s="28">
        <f t="shared" si="1"/>
        <v>1</v>
      </c>
      <c r="P49" s="28">
        <f t="shared" si="8"/>
        <v>7.1400000000000005E-2</v>
      </c>
      <c r="Q49" s="28" t="s">
        <v>275</v>
      </c>
      <c r="R49" s="28">
        <f t="shared" si="2"/>
        <v>1</v>
      </c>
      <c r="S49" s="28">
        <f t="shared" si="9"/>
        <v>0.1429</v>
      </c>
      <c r="T49" s="28" t="s">
        <v>276</v>
      </c>
      <c r="U49" s="28">
        <v>1</v>
      </c>
      <c r="V49" s="28">
        <f t="shared" si="10"/>
        <v>0.1429</v>
      </c>
      <c r="W49" s="30">
        <f t="shared" si="11"/>
        <v>1.4286999999999999</v>
      </c>
      <c r="X49" s="31">
        <f t="shared" si="13"/>
        <v>1.4286999999999999</v>
      </c>
      <c r="Y49" s="31">
        <v>1</v>
      </c>
      <c r="Z49" s="32" t="str">
        <f t="shared" si="12"/>
        <v>Low</v>
      </c>
    </row>
    <row r="50" spans="2:26" x14ac:dyDescent="0.2">
      <c r="B50" s="28" t="s">
        <v>379</v>
      </c>
      <c r="C50" s="28" t="s">
        <v>380</v>
      </c>
      <c r="D50" s="28" t="s">
        <v>274</v>
      </c>
      <c r="E50" s="28" t="str">
        <f>+_xlfn.XLOOKUP(D50,[1]Regiones!$B$4:$B$31,[1]Regiones!$G$4:$G$31)</f>
        <v>High</v>
      </c>
      <c r="F50" s="29">
        <f t="shared" si="0"/>
        <v>3</v>
      </c>
      <c r="G50" s="28">
        <f t="shared" si="3"/>
        <v>0.64290000000000003</v>
      </c>
      <c r="H50" s="28" t="s">
        <v>275</v>
      </c>
      <c r="I50" s="28">
        <f t="shared" si="4"/>
        <v>1</v>
      </c>
      <c r="J50" s="28">
        <f t="shared" si="5"/>
        <v>0.21429999999999999</v>
      </c>
      <c r="K50" s="28" t="s">
        <v>275</v>
      </c>
      <c r="L50" s="28">
        <f t="shared" si="6"/>
        <v>1</v>
      </c>
      <c r="M50" s="28">
        <f t="shared" si="7"/>
        <v>0.21429999999999999</v>
      </c>
      <c r="N50" s="28" t="s">
        <v>275</v>
      </c>
      <c r="O50" s="28">
        <f t="shared" si="1"/>
        <v>1</v>
      </c>
      <c r="P50" s="28">
        <f t="shared" si="8"/>
        <v>7.1400000000000005E-2</v>
      </c>
      <c r="Q50" s="28" t="s">
        <v>275</v>
      </c>
      <c r="R50" s="28">
        <f t="shared" si="2"/>
        <v>1</v>
      </c>
      <c r="S50" s="28">
        <f t="shared" si="9"/>
        <v>0.1429</v>
      </c>
      <c r="T50" s="28" t="s">
        <v>276</v>
      </c>
      <c r="U50" s="28">
        <v>1</v>
      </c>
      <c r="V50" s="28">
        <f t="shared" si="10"/>
        <v>0.1429</v>
      </c>
      <c r="W50" s="30">
        <f t="shared" si="11"/>
        <v>1.4286999999999999</v>
      </c>
      <c r="X50" s="31">
        <f t="shared" si="13"/>
        <v>1.4286999999999999</v>
      </c>
      <c r="Y50" s="31">
        <v>1</v>
      </c>
      <c r="Z50" s="32" t="str">
        <f t="shared" si="12"/>
        <v>Low</v>
      </c>
    </row>
    <row r="51" spans="2:26" x14ac:dyDescent="0.2">
      <c r="B51" s="28" t="s">
        <v>381</v>
      </c>
      <c r="C51" s="28" t="s">
        <v>382</v>
      </c>
      <c r="D51" s="28" t="s">
        <v>274</v>
      </c>
      <c r="E51" s="28" t="str">
        <f>+_xlfn.XLOOKUP(D51,[1]Regiones!$B$4:$B$31,[1]Regiones!$G$4:$G$31)</f>
        <v>High</v>
      </c>
      <c r="F51" s="29">
        <f t="shared" si="0"/>
        <v>3</v>
      </c>
      <c r="G51" s="28">
        <f t="shared" si="3"/>
        <v>0.64290000000000003</v>
      </c>
      <c r="H51" s="28" t="s">
        <v>275</v>
      </c>
      <c r="I51" s="28">
        <f t="shared" si="4"/>
        <v>1</v>
      </c>
      <c r="J51" s="28">
        <f t="shared" si="5"/>
        <v>0.21429999999999999</v>
      </c>
      <c r="K51" s="28" t="s">
        <v>275</v>
      </c>
      <c r="L51" s="28">
        <f t="shared" si="6"/>
        <v>1</v>
      </c>
      <c r="M51" s="28">
        <f t="shared" si="7"/>
        <v>0.21429999999999999</v>
      </c>
      <c r="N51" s="28" t="s">
        <v>279</v>
      </c>
      <c r="O51" s="28">
        <f t="shared" si="1"/>
        <v>3</v>
      </c>
      <c r="P51" s="28">
        <f t="shared" si="8"/>
        <v>0.2142</v>
      </c>
      <c r="Q51" s="28" t="s">
        <v>279</v>
      </c>
      <c r="R51" s="28">
        <f t="shared" si="2"/>
        <v>3</v>
      </c>
      <c r="S51" s="28">
        <f t="shared" si="9"/>
        <v>0.42869999999999997</v>
      </c>
      <c r="T51" s="28" t="s">
        <v>276</v>
      </c>
      <c r="U51" s="28">
        <v>1</v>
      </c>
      <c r="V51" s="28">
        <f t="shared" si="10"/>
        <v>0.1429</v>
      </c>
      <c r="W51" s="30">
        <f t="shared" si="11"/>
        <v>1.8573</v>
      </c>
      <c r="X51" s="31">
        <f t="shared" si="13"/>
        <v>1.8573</v>
      </c>
      <c r="Y51" s="31">
        <v>2</v>
      </c>
      <c r="Z51" s="32" t="str">
        <f t="shared" si="12"/>
        <v>Medium</v>
      </c>
    </row>
    <row r="52" spans="2:26" x14ac:dyDescent="0.2">
      <c r="B52" s="28" t="s">
        <v>383</v>
      </c>
      <c r="C52" s="28" t="s">
        <v>384</v>
      </c>
      <c r="D52" s="28" t="s">
        <v>274</v>
      </c>
      <c r="E52" s="28" t="str">
        <f>+_xlfn.XLOOKUP(D52,[1]Regiones!$B$4:$B$31,[1]Regiones!$G$4:$G$31)</f>
        <v>High</v>
      </c>
      <c r="F52" s="29">
        <f t="shared" si="0"/>
        <v>3</v>
      </c>
      <c r="G52" s="28">
        <f t="shared" si="3"/>
        <v>0.64290000000000003</v>
      </c>
      <c r="H52" s="28" t="s">
        <v>275</v>
      </c>
      <c r="I52" s="28">
        <f t="shared" si="4"/>
        <v>1</v>
      </c>
      <c r="J52" s="28">
        <f t="shared" si="5"/>
        <v>0.21429999999999999</v>
      </c>
      <c r="K52" s="28" t="s">
        <v>275</v>
      </c>
      <c r="L52" s="28">
        <f t="shared" si="6"/>
        <v>1</v>
      </c>
      <c r="M52" s="28">
        <f t="shared" si="7"/>
        <v>0.21429999999999999</v>
      </c>
      <c r="N52" s="28" t="s">
        <v>279</v>
      </c>
      <c r="O52" s="28">
        <f t="shared" si="1"/>
        <v>3</v>
      </c>
      <c r="P52" s="28">
        <f t="shared" si="8"/>
        <v>0.2142</v>
      </c>
      <c r="Q52" s="28" t="s">
        <v>275</v>
      </c>
      <c r="R52" s="28">
        <f t="shared" si="2"/>
        <v>1</v>
      </c>
      <c r="S52" s="28">
        <f t="shared" si="9"/>
        <v>0.1429</v>
      </c>
      <c r="T52" s="28" t="s">
        <v>276</v>
      </c>
      <c r="U52" s="28">
        <v>1</v>
      </c>
      <c r="V52" s="28">
        <f t="shared" si="10"/>
        <v>0.1429</v>
      </c>
      <c r="W52" s="30">
        <f t="shared" si="11"/>
        <v>1.5714999999999999</v>
      </c>
      <c r="X52" s="31">
        <f t="shared" si="13"/>
        <v>1.5714999999999999</v>
      </c>
      <c r="Y52" s="31">
        <v>2</v>
      </c>
      <c r="Z52" s="32" t="str">
        <f t="shared" si="12"/>
        <v>Medium</v>
      </c>
    </row>
    <row r="53" spans="2:26" x14ac:dyDescent="0.2">
      <c r="B53" s="28" t="s">
        <v>385</v>
      </c>
      <c r="C53" s="28" t="s">
        <v>386</v>
      </c>
      <c r="D53" s="28" t="s">
        <v>387</v>
      </c>
      <c r="E53" s="28" t="str">
        <f>+_xlfn.XLOOKUP(D53,[1]Regiones!$B$4:$B$31,[1]Regiones!$G$4:$G$31)</f>
        <v>High</v>
      </c>
      <c r="F53" s="29">
        <f t="shared" si="0"/>
        <v>3</v>
      </c>
      <c r="G53" s="28">
        <f t="shared" si="3"/>
        <v>0.64290000000000003</v>
      </c>
      <c r="H53" s="28" t="s">
        <v>275</v>
      </c>
      <c r="I53" s="28">
        <f t="shared" si="4"/>
        <v>1</v>
      </c>
      <c r="J53" s="28">
        <f t="shared" si="5"/>
        <v>0.21429999999999999</v>
      </c>
      <c r="K53" s="28" t="s">
        <v>275</v>
      </c>
      <c r="L53" s="28">
        <f t="shared" si="6"/>
        <v>1</v>
      </c>
      <c r="M53" s="28">
        <f t="shared" si="7"/>
        <v>0.21429999999999999</v>
      </c>
      <c r="N53" s="28" t="s">
        <v>275</v>
      </c>
      <c r="O53" s="28">
        <f t="shared" si="1"/>
        <v>1</v>
      </c>
      <c r="P53" s="28">
        <f t="shared" si="8"/>
        <v>7.1400000000000005E-2</v>
      </c>
      <c r="Q53" s="28" t="s">
        <v>275</v>
      </c>
      <c r="R53" s="28">
        <f t="shared" si="2"/>
        <v>1</v>
      </c>
      <c r="S53" s="28">
        <f t="shared" si="9"/>
        <v>0.1429</v>
      </c>
      <c r="T53" s="28" t="s">
        <v>276</v>
      </c>
      <c r="U53" s="28">
        <v>1</v>
      </c>
      <c r="V53" s="28">
        <f t="shared" si="10"/>
        <v>0.1429</v>
      </c>
      <c r="W53" s="30">
        <f t="shared" si="11"/>
        <v>1.4286999999999999</v>
      </c>
      <c r="X53" s="31">
        <f t="shared" si="13"/>
        <v>1.4286999999999999</v>
      </c>
      <c r="Y53" s="31">
        <v>1</v>
      </c>
      <c r="Z53" s="32" t="str">
        <f t="shared" si="12"/>
        <v>Low</v>
      </c>
    </row>
    <row r="54" spans="2:26" x14ac:dyDescent="0.2">
      <c r="B54" s="28" t="s">
        <v>388</v>
      </c>
      <c r="C54" s="28" t="s">
        <v>389</v>
      </c>
      <c r="D54" s="28" t="s">
        <v>390</v>
      </c>
      <c r="E54" s="28" t="str">
        <f>+_xlfn.XLOOKUP(D54,[1]Regiones!$B$4:$B$31,[1]Regiones!$G$4:$G$31)</f>
        <v>Low</v>
      </c>
      <c r="F54" s="29">
        <f t="shared" si="0"/>
        <v>1</v>
      </c>
      <c r="G54" s="28">
        <f t="shared" si="3"/>
        <v>0.21429999999999999</v>
      </c>
      <c r="H54" s="28" t="s">
        <v>275</v>
      </c>
      <c r="I54" s="28">
        <f t="shared" si="4"/>
        <v>1</v>
      </c>
      <c r="J54" s="28">
        <f t="shared" si="5"/>
        <v>0.21429999999999999</v>
      </c>
      <c r="K54" s="28" t="s">
        <v>275</v>
      </c>
      <c r="L54" s="28">
        <f t="shared" si="6"/>
        <v>1</v>
      </c>
      <c r="M54" s="28">
        <f t="shared" si="7"/>
        <v>0.21429999999999999</v>
      </c>
      <c r="N54" s="28" t="s">
        <v>275</v>
      </c>
      <c r="O54" s="28">
        <f t="shared" si="1"/>
        <v>1</v>
      </c>
      <c r="P54" s="28">
        <f t="shared" si="8"/>
        <v>7.1400000000000005E-2</v>
      </c>
      <c r="Q54" s="28" t="s">
        <v>275</v>
      </c>
      <c r="R54" s="28">
        <f t="shared" si="2"/>
        <v>1</v>
      </c>
      <c r="S54" s="28">
        <f t="shared" si="9"/>
        <v>0.1429</v>
      </c>
      <c r="T54" s="28" t="s">
        <v>276</v>
      </c>
      <c r="U54" s="28">
        <v>1</v>
      </c>
      <c r="V54" s="28">
        <f t="shared" si="10"/>
        <v>0.1429</v>
      </c>
      <c r="W54" s="30">
        <f t="shared" si="11"/>
        <v>1.0001</v>
      </c>
      <c r="X54" s="31">
        <f t="shared" si="13"/>
        <v>1.0001</v>
      </c>
      <c r="Y54" s="31">
        <v>1</v>
      </c>
      <c r="Z54" s="32" t="str">
        <f t="shared" si="12"/>
        <v>Low</v>
      </c>
    </row>
    <row r="55" spans="2:26" x14ac:dyDescent="0.2">
      <c r="B55" s="28" t="s">
        <v>391</v>
      </c>
      <c r="C55" s="28" t="s">
        <v>392</v>
      </c>
      <c r="D55" s="28" t="s">
        <v>312</v>
      </c>
      <c r="E55" s="28" t="str">
        <f>+_xlfn.XLOOKUP(D55,[1]Regiones!$B$4:$B$31,[1]Regiones!$G$4:$G$31)</f>
        <v>High</v>
      </c>
      <c r="F55" s="29">
        <f t="shared" si="0"/>
        <v>3</v>
      </c>
      <c r="G55" s="28">
        <f t="shared" si="3"/>
        <v>0.64290000000000003</v>
      </c>
      <c r="H55" s="28" t="s">
        <v>275</v>
      </c>
      <c r="I55" s="28">
        <f t="shared" si="4"/>
        <v>1</v>
      </c>
      <c r="J55" s="28">
        <f t="shared" si="5"/>
        <v>0.21429999999999999</v>
      </c>
      <c r="K55" s="28" t="s">
        <v>275</v>
      </c>
      <c r="L55" s="28">
        <f t="shared" si="6"/>
        <v>1</v>
      </c>
      <c r="M55" s="28">
        <f t="shared" si="7"/>
        <v>0.21429999999999999</v>
      </c>
      <c r="N55" s="28" t="s">
        <v>275</v>
      </c>
      <c r="O55" s="28">
        <f t="shared" si="1"/>
        <v>1</v>
      </c>
      <c r="P55" s="28">
        <f t="shared" si="8"/>
        <v>7.1400000000000005E-2</v>
      </c>
      <c r="Q55" s="28" t="s">
        <v>275</v>
      </c>
      <c r="R55" s="28">
        <f t="shared" si="2"/>
        <v>1</v>
      </c>
      <c r="S55" s="28">
        <f t="shared" si="9"/>
        <v>0.1429</v>
      </c>
      <c r="T55" s="28" t="s">
        <v>276</v>
      </c>
      <c r="U55" s="28">
        <v>1</v>
      </c>
      <c r="V55" s="28">
        <f t="shared" si="10"/>
        <v>0.1429</v>
      </c>
      <c r="W55" s="30">
        <f t="shared" si="11"/>
        <v>1.4286999999999999</v>
      </c>
      <c r="X55" s="31">
        <f t="shared" si="13"/>
        <v>1.4286999999999999</v>
      </c>
      <c r="Y55" s="31">
        <v>1</v>
      </c>
      <c r="Z55" s="32" t="str">
        <f t="shared" si="12"/>
        <v>Low</v>
      </c>
    </row>
    <row r="56" spans="2:26" x14ac:dyDescent="0.2">
      <c r="B56" s="28" t="s">
        <v>393</v>
      </c>
      <c r="C56" s="28" t="s">
        <v>394</v>
      </c>
      <c r="D56" s="28" t="s">
        <v>274</v>
      </c>
      <c r="E56" s="28" t="str">
        <f>+_xlfn.XLOOKUP(D56,[1]Regiones!$B$4:$B$31,[1]Regiones!$G$4:$G$31)</f>
        <v>High</v>
      </c>
      <c r="F56" s="29">
        <f t="shared" si="0"/>
        <v>3</v>
      </c>
      <c r="G56" s="28">
        <f t="shared" si="3"/>
        <v>0.64290000000000003</v>
      </c>
      <c r="H56" s="28" t="s">
        <v>275</v>
      </c>
      <c r="I56" s="28">
        <f t="shared" si="4"/>
        <v>1</v>
      </c>
      <c r="J56" s="28">
        <f t="shared" si="5"/>
        <v>0.21429999999999999</v>
      </c>
      <c r="K56" s="28" t="s">
        <v>275</v>
      </c>
      <c r="L56" s="28">
        <f t="shared" si="6"/>
        <v>1</v>
      </c>
      <c r="M56" s="28">
        <f t="shared" si="7"/>
        <v>0.21429999999999999</v>
      </c>
      <c r="N56" s="28" t="s">
        <v>279</v>
      </c>
      <c r="O56" s="28">
        <f t="shared" si="1"/>
        <v>3</v>
      </c>
      <c r="P56" s="28">
        <f t="shared" si="8"/>
        <v>0.2142</v>
      </c>
      <c r="Q56" s="28" t="s">
        <v>279</v>
      </c>
      <c r="R56" s="28">
        <f t="shared" si="2"/>
        <v>3</v>
      </c>
      <c r="S56" s="28">
        <f t="shared" si="9"/>
        <v>0.42869999999999997</v>
      </c>
      <c r="T56" s="28" t="s">
        <v>276</v>
      </c>
      <c r="U56" s="28">
        <v>1</v>
      </c>
      <c r="V56" s="28">
        <f t="shared" si="10"/>
        <v>0.1429</v>
      </c>
      <c r="W56" s="30">
        <f t="shared" si="11"/>
        <v>1.8573</v>
      </c>
      <c r="X56" s="31">
        <f t="shared" si="13"/>
        <v>1.8573</v>
      </c>
      <c r="Y56" s="31">
        <v>2</v>
      </c>
      <c r="Z56" s="32" t="str">
        <f t="shared" si="12"/>
        <v>Medium</v>
      </c>
    </row>
    <row r="57" spans="2:26" x14ac:dyDescent="0.2">
      <c r="B57" s="28" t="s">
        <v>395</v>
      </c>
      <c r="C57" s="28" t="s">
        <v>396</v>
      </c>
      <c r="D57" s="28" t="s">
        <v>274</v>
      </c>
      <c r="E57" s="28" t="str">
        <f>+_xlfn.XLOOKUP(D57,[1]Regiones!$B$4:$B$31,[1]Regiones!$G$4:$G$31)</f>
        <v>High</v>
      </c>
      <c r="F57" s="29">
        <f t="shared" si="0"/>
        <v>3</v>
      </c>
      <c r="G57" s="28">
        <f t="shared" si="3"/>
        <v>0.64290000000000003</v>
      </c>
      <c r="H57" s="28" t="s">
        <v>275</v>
      </c>
      <c r="I57" s="28">
        <f t="shared" si="4"/>
        <v>1</v>
      </c>
      <c r="J57" s="28">
        <f t="shared" si="5"/>
        <v>0.21429999999999999</v>
      </c>
      <c r="K57" s="28" t="s">
        <v>275</v>
      </c>
      <c r="L57" s="28">
        <f t="shared" si="6"/>
        <v>1</v>
      </c>
      <c r="M57" s="28">
        <f t="shared" si="7"/>
        <v>0.21429999999999999</v>
      </c>
      <c r="N57" s="28" t="s">
        <v>275</v>
      </c>
      <c r="O57" s="28">
        <f t="shared" si="1"/>
        <v>1</v>
      </c>
      <c r="P57" s="28">
        <f t="shared" si="8"/>
        <v>7.1400000000000005E-2</v>
      </c>
      <c r="Q57" s="28" t="s">
        <v>275</v>
      </c>
      <c r="R57" s="28">
        <f t="shared" si="2"/>
        <v>1</v>
      </c>
      <c r="S57" s="28">
        <f t="shared" si="9"/>
        <v>0.1429</v>
      </c>
      <c r="T57" s="28" t="s">
        <v>276</v>
      </c>
      <c r="U57" s="28">
        <v>1</v>
      </c>
      <c r="V57" s="28">
        <f t="shared" si="10"/>
        <v>0.1429</v>
      </c>
      <c r="W57" s="30">
        <f t="shared" si="11"/>
        <v>1.4286999999999999</v>
      </c>
      <c r="X57" s="31">
        <f t="shared" si="13"/>
        <v>1.4286999999999999</v>
      </c>
      <c r="Y57" s="31">
        <v>1</v>
      </c>
      <c r="Z57" s="32" t="str">
        <f t="shared" si="12"/>
        <v>Low</v>
      </c>
    </row>
    <row r="58" spans="2:26" x14ac:dyDescent="0.2">
      <c r="B58" s="28" t="s">
        <v>397</v>
      </c>
      <c r="C58" s="28" t="s">
        <v>398</v>
      </c>
      <c r="D58" s="28" t="s">
        <v>274</v>
      </c>
      <c r="E58" s="28" t="str">
        <f>+_xlfn.XLOOKUP(D58,[1]Regiones!$B$4:$B$31,[1]Regiones!$G$4:$G$31)</f>
        <v>High</v>
      </c>
      <c r="F58" s="29">
        <f t="shared" si="0"/>
        <v>3</v>
      </c>
      <c r="G58" s="28">
        <f t="shared" si="3"/>
        <v>0.64290000000000003</v>
      </c>
      <c r="H58" s="28" t="s">
        <v>275</v>
      </c>
      <c r="I58" s="28">
        <f t="shared" si="4"/>
        <v>1</v>
      </c>
      <c r="J58" s="28">
        <f t="shared" si="5"/>
        <v>0.21429999999999999</v>
      </c>
      <c r="K58" s="28" t="s">
        <v>275</v>
      </c>
      <c r="L58" s="28">
        <f t="shared" si="6"/>
        <v>1</v>
      </c>
      <c r="M58" s="28">
        <f t="shared" si="7"/>
        <v>0.21429999999999999</v>
      </c>
      <c r="N58" s="28" t="s">
        <v>275</v>
      </c>
      <c r="O58" s="28">
        <f t="shared" si="1"/>
        <v>1</v>
      </c>
      <c r="P58" s="28">
        <f t="shared" si="8"/>
        <v>7.1400000000000005E-2</v>
      </c>
      <c r="Q58" s="28" t="s">
        <v>275</v>
      </c>
      <c r="R58" s="28">
        <f t="shared" si="2"/>
        <v>1</v>
      </c>
      <c r="S58" s="28">
        <f t="shared" si="9"/>
        <v>0.1429</v>
      </c>
      <c r="T58" s="28" t="s">
        <v>276</v>
      </c>
      <c r="U58" s="28">
        <v>1</v>
      </c>
      <c r="V58" s="28">
        <f t="shared" si="10"/>
        <v>0.1429</v>
      </c>
      <c r="W58" s="30">
        <f t="shared" si="11"/>
        <v>1.4286999999999999</v>
      </c>
      <c r="X58" s="31">
        <f t="shared" si="13"/>
        <v>1.4286999999999999</v>
      </c>
      <c r="Y58" s="31">
        <v>1</v>
      </c>
      <c r="Z58" s="32" t="str">
        <f t="shared" si="12"/>
        <v>Low</v>
      </c>
    </row>
    <row r="59" spans="2:26" x14ac:dyDescent="0.2">
      <c r="B59" s="28" t="s">
        <v>399</v>
      </c>
      <c r="C59" s="28" t="s">
        <v>400</v>
      </c>
      <c r="D59" s="28" t="s">
        <v>274</v>
      </c>
      <c r="E59" s="28" t="str">
        <f>+_xlfn.XLOOKUP(D59,[1]Regiones!$B$4:$B$31,[1]Regiones!$G$4:$G$31)</f>
        <v>High</v>
      </c>
      <c r="F59" s="29">
        <f t="shared" si="0"/>
        <v>3</v>
      </c>
      <c r="G59" s="28">
        <f t="shared" si="3"/>
        <v>0.64290000000000003</v>
      </c>
      <c r="H59" s="28" t="s">
        <v>275</v>
      </c>
      <c r="I59" s="28">
        <f t="shared" si="4"/>
        <v>1</v>
      </c>
      <c r="J59" s="28">
        <f t="shared" si="5"/>
        <v>0.21429999999999999</v>
      </c>
      <c r="K59" s="28" t="s">
        <v>275</v>
      </c>
      <c r="L59" s="28">
        <f t="shared" si="6"/>
        <v>1</v>
      </c>
      <c r="M59" s="28">
        <f t="shared" si="7"/>
        <v>0.21429999999999999</v>
      </c>
      <c r="N59" s="28" t="s">
        <v>275</v>
      </c>
      <c r="O59" s="28">
        <f t="shared" si="1"/>
        <v>1</v>
      </c>
      <c r="P59" s="28">
        <f t="shared" si="8"/>
        <v>7.1400000000000005E-2</v>
      </c>
      <c r="Q59" s="28" t="s">
        <v>275</v>
      </c>
      <c r="R59" s="28">
        <f t="shared" si="2"/>
        <v>1</v>
      </c>
      <c r="S59" s="28">
        <f t="shared" si="9"/>
        <v>0.1429</v>
      </c>
      <c r="T59" s="28" t="s">
        <v>276</v>
      </c>
      <c r="U59" s="28">
        <v>1</v>
      </c>
      <c r="V59" s="28">
        <f t="shared" si="10"/>
        <v>0.1429</v>
      </c>
      <c r="W59" s="30">
        <f t="shared" si="11"/>
        <v>1.4286999999999999</v>
      </c>
      <c r="X59" s="31">
        <f t="shared" si="13"/>
        <v>1.4286999999999999</v>
      </c>
      <c r="Y59" s="31">
        <v>1</v>
      </c>
      <c r="Z59" s="32" t="str">
        <f t="shared" si="12"/>
        <v>Low</v>
      </c>
    </row>
    <row r="60" spans="2:26" x14ac:dyDescent="0.2">
      <c r="B60" s="28" t="s">
        <v>401</v>
      </c>
      <c r="C60" s="28" t="s">
        <v>402</v>
      </c>
      <c r="D60" s="28" t="s">
        <v>274</v>
      </c>
      <c r="E60" s="28" t="str">
        <f>+_xlfn.XLOOKUP(D60,[1]Regiones!$B$4:$B$31,[1]Regiones!$G$4:$G$31)</f>
        <v>High</v>
      </c>
      <c r="F60" s="29">
        <f t="shared" si="0"/>
        <v>3</v>
      </c>
      <c r="G60" s="28">
        <f t="shared" si="3"/>
        <v>0.64290000000000003</v>
      </c>
      <c r="H60" s="28" t="s">
        <v>275</v>
      </c>
      <c r="I60" s="28">
        <f t="shared" si="4"/>
        <v>1</v>
      </c>
      <c r="J60" s="28">
        <f t="shared" si="5"/>
        <v>0.21429999999999999</v>
      </c>
      <c r="K60" s="28" t="s">
        <v>275</v>
      </c>
      <c r="L60" s="28">
        <f t="shared" si="6"/>
        <v>1</v>
      </c>
      <c r="M60" s="28">
        <f t="shared" si="7"/>
        <v>0.21429999999999999</v>
      </c>
      <c r="N60" s="28" t="s">
        <v>275</v>
      </c>
      <c r="O60" s="28">
        <f t="shared" si="1"/>
        <v>1</v>
      </c>
      <c r="P60" s="28">
        <f t="shared" si="8"/>
        <v>7.1400000000000005E-2</v>
      </c>
      <c r="Q60" s="28" t="s">
        <v>275</v>
      </c>
      <c r="R60" s="28">
        <f t="shared" si="2"/>
        <v>1</v>
      </c>
      <c r="S60" s="28">
        <f t="shared" si="9"/>
        <v>0.1429</v>
      </c>
      <c r="T60" s="28" t="s">
        <v>276</v>
      </c>
      <c r="U60" s="28">
        <v>1</v>
      </c>
      <c r="V60" s="28">
        <f t="shared" si="10"/>
        <v>0.1429</v>
      </c>
      <c r="W60" s="30">
        <f t="shared" si="11"/>
        <v>1.4286999999999999</v>
      </c>
      <c r="X60" s="31">
        <f t="shared" si="13"/>
        <v>1.4286999999999999</v>
      </c>
      <c r="Y60" s="31">
        <v>1</v>
      </c>
      <c r="Z60" s="32" t="str">
        <f t="shared" si="12"/>
        <v>Low</v>
      </c>
    </row>
    <row r="61" spans="2:26" x14ac:dyDescent="0.2">
      <c r="B61" s="28" t="s">
        <v>403</v>
      </c>
      <c r="C61" s="28" t="s">
        <v>404</v>
      </c>
      <c r="D61" s="28" t="s">
        <v>319</v>
      </c>
      <c r="E61" s="28" t="str">
        <f>+_xlfn.XLOOKUP(D61,[1]Regiones!$B$4:$B$31,[1]Regiones!$G$4:$G$31)</f>
        <v>Low</v>
      </c>
      <c r="F61" s="29">
        <f t="shared" si="0"/>
        <v>1</v>
      </c>
      <c r="G61" s="28">
        <f t="shared" si="3"/>
        <v>0.21429999999999999</v>
      </c>
      <c r="H61" s="28" t="s">
        <v>275</v>
      </c>
      <c r="I61" s="28">
        <f t="shared" si="4"/>
        <v>1</v>
      </c>
      <c r="J61" s="28">
        <f t="shared" si="5"/>
        <v>0.21429999999999999</v>
      </c>
      <c r="K61" s="28" t="s">
        <v>275</v>
      </c>
      <c r="L61" s="28">
        <f t="shared" si="6"/>
        <v>1</v>
      </c>
      <c r="M61" s="28">
        <f t="shared" si="7"/>
        <v>0.21429999999999999</v>
      </c>
      <c r="N61" s="28" t="s">
        <v>275</v>
      </c>
      <c r="O61" s="28">
        <f t="shared" si="1"/>
        <v>1</v>
      </c>
      <c r="P61" s="28">
        <f t="shared" si="8"/>
        <v>7.1400000000000005E-2</v>
      </c>
      <c r="Q61" s="28" t="s">
        <v>275</v>
      </c>
      <c r="R61" s="28">
        <f t="shared" si="2"/>
        <v>1</v>
      </c>
      <c r="S61" s="28">
        <f t="shared" si="9"/>
        <v>0.1429</v>
      </c>
      <c r="T61" s="28" t="s">
        <v>276</v>
      </c>
      <c r="U61" s="28">
        <v>1</v>
      </c>
      <c r="V61" s="28">
        <f t="shared" si="10"/>
        <v>0.1429</v>
      </c>
      <c r="W61" s="30">
        <f t="shared" si="11"/>
        <v>1.0001</v>
      </c>
      <c r="X61" s="31">
        <f t="shared" si="13"/>
        <v>1.0001</v>
      </c>
      <c r="Y61" s="31">
        <v>1</v>
      </c>
      <c r="Z61" s="32" t="str">
        <f t="shared" si="12"/>
        <v>Low</v>
      </c>
    </row>
    <row r="62" spans="2:26" x14ac:dyDescent="0.2">
      <c r="B62" s="28" t="s">
        <v>405</v>
      </c>
      <c r="C62" s="28" t="s">
        <v>406</v>
      </c>
      <c r="D62" s="28" t="s">
        <v>274</v>
      </c>
      <c r="E62" s="28" t="str">
        <f>+_xlfn.XLOOKUP(D62,[1]Regiones!$B$4:$B$31,[1]Regiones!$G$4:$G$31)</f>
        <v>High</v>
      </c>
      <c r="F62" s="29">
        <f t="shared" si="0"/>
        <v>3</v>
      </c>
      <c r="G62" s="28">
        <f t="shared" si="3"/>
        <v>0.64290000000000003</v>
      </c>
      <c r="H62" s="28" t="s">
        <v>275</v>
      </c>
      <c r="I62" s="28">
        <f t="shared" si="4"/>
        <v>1</v>
      </c>
      <c r="J62" s="28">
        <f t="shared" si="5"/>
        <v>0.21429999999999999</v>
      </c>
      <c r="K62" s="28" t="s">
        <v>275</v>
      </c>
      <c r="L62" s="28">
        <f t="shared" si="6"/>
        <v>1</v>
      </c>
      <c r="M62" s="28">
        <f t="shared" si="7"/>
        <v>0.21429999999999999</v>
      </c>
      <c r="N62" s="28" t="s">
        <v>275</v>
      </c>
      <c r="O62" s="28">
        <f t="shared" si="1"/>
        <v>1</v>
      </c>
      <c r="P62" s="28">
        <f t="shared" si="8"/>
        <v>7.1400000000000005E-2</v>
      </c>
      <c r="Q62" s="28" t="s">
        <v>275</v>
      </c>
      <c r="R62" s="28">
        <f t="shared" si="2"/>
        <v>1</v>
      </c>
      <c r="S62" s="28">
        <f t="shared" si="9"/>
        <v>0.1429</v>
      </c>
      <c r="T62" s="28" t="s">
        <v>276</v>
      </c>
      <c r="U62" s="28">
        <v>1</v>
      </c>
      <c r="V62" s="28">
        <f t="shared" si="10"/>
        <v>0.1429</v>
      </c>
      <c r="W62" s="30">
        <f t="shared" si="11"/>
        <v>1.4286999999999999</v>
      </c>
      <c r="X62" s="31">
        <f t="shared" si="13"/>
        <v>1.4286999999999999</v>
      </c>
      <c r="Y62" s="31">
        <v>1</v>
      </c>
      <c r="Z62" s="32" t="str">
        <f t="shared" si="12"/>
        <v>Low</v>
      </c>
    </row>
    <row r="63" spans="2:26" x14ac:dyDescent="0.2">
      <c r="B63" s="28" t="s">
        <v>407</v>
      </c>
      <c r="C63" s="28" t="s">
        <v>408</v>
      </c>
      <c r="D63" s="28" t="s">
        <v>387</v>
      </c>
      <c r="E63" s="28" t="str">
        <f>+_xlfn.XLOOKUP(D63,[1]Regiones!$B$4:$B$31,[1]Regiones!$G$4:$G$31)</f>
        <v>High</v>
      </c>
      <c r="F63" s="29">
        <f t="shared" si="0"/>
        <v>3</v>
      </c>
      <c r="G63" s="28">
        <f t="shared" si="3"/>
        <v>0.64290000000000003</v>
      </c>
      <c r="H63" s="28" t="s">
        <v>275</v>
      </c>
      <c r="I63" s="28">
        <f t="shared" si="4"/>
        <v>1</v>
      </c>
      <c r="J63" s="28">
        <f t="shared" si="5"/>
        <v>0.21429999999999999</v>
      </c>
      <c r="K63" s="28" t="s">
        <v>275</v>
      </c>
      <c r="L63" s="28">
        <f t="shared" si="6"/>
        <v>1</v>
      </c>
      <c r="M63" s="28">
        <f t="shared" si="7"/>
        <v>0.21429999999999999</v>
      </c>
      <c r="N63" s="28" t="s">
        <v>275</v>
      </c>
      <c r="O63" s="28">
        <f t="shared" si="1"/>
        <v>1</v>
      </c>
      <c r="P63" s="28">
        <f t="shared" si="8"/>
        <v>7.1400000000000005E-2</v>
      </c>
      <c r="Q63" s="28" t="s">
        <v>275</v>
      </c>
      <c r="R63" s="28">
        <f t="shared" si="2"/>
        <v>1</v>
      </c>
      <c r="S63" s="28">
        <f t="shared" si="9"/>
        <v>0.1429</v>
      </c>
      <c r="T63" s="28" t="s">
        <v>276</v>
      </c>
      <c r="U63" s="28">
        <v>1</v>
      </c>
      <c r="V63" s="28">
        <f t="shared" si="10"/>
        <v>0.1429</v>
      </c>
      <c r="W63" s="30">
        <f t="shared" si="11"/>
        <v>1.4286999999999999</v>
      </c>
      <c r="X63" s="31">
        <f t="shared" si="13"/>
        <v>1.4286999999999999</v>
      </c>
      <c r="Y63" s="31">
        <v>1</v>
      </c>
      <c r="Z63" s="32" t="str">
        <f t="shared" si="12"/>
        <v>Low</v>
      </c>
    </row>
    <row r="64" spans="2:26" x14ac:dyDescent="0.2">
      <c r="B64" s="28" t="s">
        <v>409</v>
      </c>
      <c r="C64" s="28" t="s">
        <v>410</v>
      </c>
      <c r="D64" s="28" t="s">
        <v>411</v>
      </c>
      <c r="E64" s="28" t="str">
        <f>+_xlfn.XLOOKUP(D64,[1]Regiones!$B$4:$B$31,[1]Regiones!$G$4:$G$31)</f>
        <v>High</v>
      </c>
      <c r="F64" s="29">
        <f t="shared" si="0"/>
        <v>3</v>
      </c>
      <c r="G64" s="28">
        <f t="shared" si="3"/>
        <v>0.64290000000000003</v>
      </c>
      <c r="H64" s="28" t="s">
        <v>275</v>
      </c>
      <c r="I64" s="28">
        <f t="shared" si="4"/>
        <v>1</v>
      </c>
      <c r="J64" s="28">
        <f t="shared" si="5"/>
        <v>0.21429999999999999</v>
      </c>
      <c r="K64" s="28" t="s">
        <v>275</v>
      </c>
      <c r="L64" s="28">
        <f t="shared" si="6"/>
        <v>1</v>
      </c>
      <c r="M64" s="28">
        <f t="shared" si="7"/>
        <v>0.21429999999999999</v>
      </c>
      <c r="N64" s="28" t="s">
        <v>279</v>
      </c>
      <c r="O64" s="28">
        <f t="shared" si="1"/>
        <v>3</v>
      </c>
      <c r="P64" s="28">
        <f t="shared" si="8"/>
        <v>0.2142</v>
      </c>
      <c r="Q64" s="28" t="s">
        <v>275</v>
      </c>
      <c r="R64" s="28">
        <f t="shared" si="2"/>
        <v>1</v>
      </c>
      <c r="S64" s="28">
        <f t="shared" si="9"/>
        <v>0.1429</v>
      </c>
      <c r="T64" s="28" t="s">
        <v>276</v>
      </c>
      <c r="U64" s="28">
        <v>1</v>
      </c>
      <c r="V64" s="28">
        <f t="shared" si="10"/>
        <v>0.1429</v>
      </c>
      <c r="W64" s="30">
        <f t="shared" si="11"/>
        <v>1.5714999999999999</v>
      </c>
      <c r="X64" s="31">
        <f t="shared" si="13"/>
        <v>1.5714999999999999</v>
      </c>
      <c r="Y64" s="31">
        <v>2</v>
      </c>
      <c r="Z64" s="32" t="str">
        <f t="shared" si="12"/>
        <v>Medium</v>
      </c>
    </row>
    <row r="65" spans="2:26" x14ac:dyDescent="0.2">
      <c r="B65" s="28" t="s">
        <v>412</v>
      </c>
      <c r="C65" s="28" t="s">
        <v>413</v>
      </c>
      <c r="D65" s="28" t="s">
        <v>274</v>
      </c>
      <c r="E65" s="28" t="str">
        <f>+_xlfn.XLOOKUP(D65,[1]Regiones!$B$4:$B$31,[1]Regiones!$G$4:$G$31)</f>
        <v>High</v>
      </c>
      <c r="F65" s="29">
        <f t="shared" si="0"/>
        <v>3</v>
      </c>
      <c r="G65" s="28">
        <f t="shared" si="3"/>
        <v>0.64290000000000003</v>
      </c>
      <c r="H65" s="28" t="s">
        <v>275</v>
      </c>
      <c r="I65" s="28">
        <f t="shared" si="4"/>
        <v>1</v>
      </c>
      <c r="J65" s="28">
        <f t="shared" si="5"/>
        <v>0.21429999999999999</v>
      </c>
      <c r="K65" s="28" t="s">
        <v>279</v>
      </c>
      <c r="L65" s="28">
        <f t="shared" si="6"/>
        <v>3</v>
      </c>
      <c r="M65" s="28">
        <f t="shared" si="7"/>
        <v>0.64290000000000003</v>
      </c>
      <c r="N65" s="28" t="s">
        <v>279</v>
      </c>
      <c r="O65" s="28">
        <f t="shared" si="1"/>
        <v>3</v>
      </c>
      <c r="P65" s="28">
        <f t="shared" si="8"/>
        <v>0.2142</v>
      </c>
      <c r="Q65" s="28" t="s">
        <v>279</v>
      </c>
      <c r="R65" s="28">
        <f t="shared" si="2"/>
        <v>3</v>
      </c>
      <c r="S65" s="28">
        <f t="shared" si="9"/>
        <v>0.42869999999999997</v>
      </c>
      <c r="T65" s="28" t="s">
        <v>280</v>
      </c>
      <c r="U65" s="28">
        <v>3</v>
      </c>
      <c r="V65" s="28">
        <f t="shared" si="10"/>
        <v>0.42869999999999997</v>
      </c>
      <c r="W65" s="30">
        <f t="shared" si="11"/>
        <v>2.5716999999999999</v>
      </c>
      <c r="X65" s="31">
        <f t="shared" si="13"/>
        <v>2.5716999999999999</v>
      </c>
      <c r="Y65" s="31">
        <v>3</v>
      </c>
      <c r="Z65" s="32" t="str">
        <f t="shared" si="12"/>
        <v>High</v>
      </c>
    </row>
    <row r="66" spans="2:26" x14ac:dyDescent="0.2">
      <c r="B66" s="28" t="s">
        <v>414</v>
      </c>
      <c r="C66" s="28" t="s">
        <v>415</v>
      </c>
      <c r="D66" s="28" t="s">
        <v>363</v>
      </c>
      <c r="E66" s="28" t="str">
        <f>+_xlfn.XLOOKUP(D66,[1]Regiones!$B$4:$B$31,[1]Regiones!$G$4:$G$31)</f>
        <v>Low</v>
      </c>
      <c r="F66" s="29">
        <f t="shared" si="0"/>
        <v>1</v>
      </c>
      <c r="G66" s="28">
        <f t="shared" si="3"/>
        <v>0.21429999999999999</v>
      </c>
      <c r="H66" s="28" t="s">
        <v>275</v>
      </c>
      <c r="I66" s="28">
        <f t="shared" si="4"/>
        <v>1</v>
      </c>
      <c r="J66" s="28">
        <f t="shared" si="5"/>
        <v>0.21429999999999999</v>
      </c>
      <c r="K66" s="28" t="s">
        <v>275</v>
      </c>
      <c r="L66" s="28">
        <f t="shared" si="6"/>
        <v>1</v>
      </c>
      <c r="M66" s="28">
        <f t="shared" si="7"/>
        <v>0.21429999999999999</v>
      </c>
      <c r="N66" s="28" t="s">
        <v>275</v>
      </c>
      <c r="O66" s="28">
        <f t="shared" si="1"/>
        <v>1</v>
      </c>
      <c r="P66" s="28">
        <f t="shared" si="8"/>
        <v>7.1400000000000005E-2</v>
      </c>
      <c r="Q66" s="28" t="s">
        <v>275</v>
      </c>
      <c r="R66" s="28">
        <f t="shared" si="2"/>
        <v>1</v>
      </c>
      <c r="S66" s="28">
        <f t="shared" si="9"/>
        <v>0.1429</v>
      </c>
      <c r="T66" s="28" t="s">
        <v>276</v>
      </c>
      <c r="U66" s="28">
        <v>1</v>
      </c>
      <c r="V66" s="28">
        <f t="shared" si="10"/>
        <v>0.1429</v>
      </c>
      <c r="W66" s="30">
        <f t="shared" si="11"/>
        <v>1.0001</v>
      </c>
      <c r="X66" s="31">
        <f t="shared" si="13"/>
        <v>1.0001</v>
      </c>
      <c r="Y66" s="31">
        <v>1</v>
      </c>
      <c r="Z66" s="32" t="str">
        <f t="shared" si="12"/>
        <v>Low</v>
      </c>
    </row>
    <row r="67" spans="2:26" x14ac:dyDescent="0.2">
      <c r="B67" s="28" t="s">
        <v>416</v>
      </c>
      <c r="C67" s="28" t="s">
        <v>417</v>
      </c>
      <c r="D67" s="28" t="s">
        <v>274</v>
      </c>
      <c r="E67" s="28" t="str">
        <f>+_xlfn.XLOOKUP(D67,[1]Regiones!$B$4:$B$31,[1]Regiones!$G$4:$G$31)</f>
        <v>High</v>
      </c>
      <c r="F67" s="29">
        <f t="shared" si="0"/>
        <v>3</v>
      </c>
      <c r="G67" s="28">
        <f t="shared" si="3"/>
        <v>0.64290000000000003</v>
      </c>
      <c r="H67" s="28" t="s">
        <v>275</v>
      </c>
      <c r="I67" s="28">
        <f t="shared" si="4"/>
        <v>1</v>
      </c>
      <c r="J67" s="28">
        <f t="shared" si="5"/>
        <v>0.21429999999999999</v>
      </c>
      <c r="K67" s="28" t="s">
        <v>275</v>
      </c>
      <c r="L67" s="28">
        <f t="shared" si="6"/>
        <v>1</v>
      </c>
      <c r="M67" s="28">
        <f t="shared" si="7"/>
        <v>0.21429999999999999</v>
      </c>
      <c r="N67" s="28" t="s">
        <v>279</v>
      </c>
      <c r="O67" s="28">
        <f t="shared" si="1"/>
        <v>3</v>
      </c>
      <c r="P67" s="28">
        <f t="shared" si="8"/>
        <v>0.2142</v>
      </c>
      <c r="Q67" s="28" t="s">
        <v>279</v>
      </c>
      <c r="R67" s="28">
        <f t="shared" si="2"/>
        <v>3</v>
      </c>
      <c r="S67" s="28">
        <f t="shared" si="9"/>
        <v>0.42869999999999997</v>
      </c>
      <c r="T67" s="28" t="s">
        <v>276</v>
      </c>
      <c r="U67" s="28">
        <v>1</v>
      </c>
      <c r="V67" s="28">
        <f t="shared" si="10"/>
        <v>0.1429</v>
      </c>
      <c r="W67" s="30">
        <f t="shared" si="11"/>
        <v>1.8573</v>
      </c>
      <c r="X67" s="31">
        <f t="shared" si="13"/>
        <v>1.8573</v>
      </c>
      <c r="Y67" s="31">
        <v>2</v>
      </c>
      <c r="Z67" s="32" t="str">
        <f t="shared" si="12"/>
        <v>Medium</v>
      </c>
    </row>
    <row r="68" spans="2:26" x14ac:dyDescent="0.2">
      <c r="B68" s="28" t="s">
        <v>418</v>
      </c>
      <c r="C68" s="28" t="s">
        <v>419</v>
      </c>
      <c r="D68" s="28" t="s">
        <v>312</v>
      </c>
      <c r="E68" s="28" t="str">
        <f>+_xlfn.XLOOKUP(D68,[1]Regiones!$B$4:$B$31,[1]Regiones!$G$4:$G$31)</f>
        <v>High</v>
      </c>
      <c r="F68" s="29">
        <f t="shared" si="0"/>
        <v>3</v>
      </c>
      <c r="G68" s="28">
        <f t="shared" si="3"/>
        <v>0.64290000000000003</v>
      </c>
      <c r="H68" s="28" t="s">
        <v>275</v>
      </c>
      <c r="I68" s="28">
        <f t="shared" si="4"/>
        <v>1</v>
      </c>
      <c r="J68" s="28">
        <f t="shared" si="5"/>
        <v>0.21429999999999999</v>
      </c>
      <c r="K68" s="28" t="s">
        <v>275</v>
      </c>
      <c r="L68" s="28">
        <f t="shared" si="6"/>
        <v>1</v>
      </c>
      <c r="M68" s="28">
        <f t="shared" si="7"/>
        <v>0.21429999999999999</v>
      </c>
      <c r="N68" s="28" t="s">
        <v>275</v>
      </c>
      <c r="O68" s="28">
        <f t="shared" si="1"/>
        <v>1</v>
      </c>
      <c r="P68" s="28">
        <f t="shared" si="8"/>
        <v>7.1400000000000005E-2</v>
      </c>
      <c r="Q68" s="28" t="s">
        <v>275</v>
      </c>
      <c r="R68" s="28">
        <f t="shared" si="2"/>
        <v>1</v>
      </c>
      <c r="S68" s="28">
        <f t="shared" si="9"/>
        <v>0.1429</v>
      </c>
      <c r="T68" s="28" t="s">
        <v>276</v>
      </c>
      <c r="U68" s="28">
        <v>1</v>
      </c>
      <c r="V68" s="28">
        <f t="shared" si="10"/>
        <v>0.1429</v>
      </c>
      <c r="W68" s="30">
        <f t="shared" si="11"/>
        <v>1.4286999999999999</v>
      </c>
      <c r="X68" s="31">
        <f t="shared" si="13"/>
        <v>1.4286999999999999</v>
      </c>
      <c r="Y68" s="31">
        <v>1</v>
      </c>
      <c r="Z68" s="32" t="str">
        <f t="shared" si="12"/>
        <v>Low</v>
      </c>
    </row>
    <row r="69" spans="2:26" x14ac:dyDescent="0.2">
      <c r="B69" s="28" t="s">
        <v>420</v>
      </c>
      <c r="C69" s="28" t="s">
        <v>421</v>
      </c>
      <c r="D69" s="28" t="s">
        <v>274</v>
      </c>
      <c r="E69" s="28" t="str">
        <f>+_xlfn.XLOOKUP(D69,[1]Regiones!$B$4:$B$31,[1]Regiones!$G$4:$G$31)</f>
        <v>High</v>
      </c>
      <c r="F69" s="29">
        <f t="shared" ref="F69:F132" si="14">+_xlfn.XLOOKUP(E69,$AB$4:$AB$7,$AC$4:$AC$7)</f>
        <v>3</v>
      </c>
      <c r="G69" s="28">
        <f t="shared" si="3"/>
        <v>0.64290000000000003</v>
      </c>
      <c r="H69" s="28" t="s">
        <v>275</v>
      </c>
      <c r="I69" s="28">
        <f t="shared" si="4"/>
        <v>1</v>
      </c>
      <c r="J69" s="28">
        <f t="shared" si="5"/>
        <v>0.21429999999999999</v>
      </c>
      <c r="K69" s="28" t="s">
        <v>275</v>
      </c>
      <c r="L69" s="28">
        <f t="shared" si="6"/>
        <v>1</v>
      </c>
      <c r="M69" s="28">
        <f t="shared" si="7"/>
        <v>0.21429999999999999</v>
      </c>
      <c r="N69" s="28" t="s">
        <v>275</v>
      </c>
      <c r="O69" s="28">
        <f t="shared" ref="O69:O132" si="15">+_xlfn.XLOOKUP(N69,$AB$4:$AB$7,$AC$4:$AC$7)</f>
        <v>1</v>
      </c>
      <c r="P69" s="28">
        <f t="shared" si="8"/>
        <v>7.1400000000000005E-2</v>
      </c>
      <c r="Q69" s="28" t="s">
        <v>275</v>
      </c>
      <c r="R69" s="28">
        <f t="shared" ref="R69:R132" si="16">+_xlfn.XLOOKUP(Q69,$AB$4:$AB$7,$AC$4:$AC$7)</f>
        <v>1</v>
      </c>
      <c r="S69" s="28">
        <f t="shared" si="9"/>
        <v>0.1429</v>
      </c>
      <c r="T69" s="28" t="s">
        <v>276</v>
      </c>
      <c r="U69" s="28">
        <v>1</v>
      </c>
      <c r="V69" s="28">
        <f t="shared" si="10"/>
        <v>0.1429</v>
      </c>
      <c r="W69" s="30">
        <f t="shared" si="11"/>
        <v>1.4286999999999999</v>
      </c>
      <c r="X69" s="31">
        <f t="shared" si="13"/>
        <v>1.4286999999999999</v>
      </c>
      <c r="Y69" s="31">
        <v>1</v>
      </c>
      <c r="Z69" s="32" t="str">
        <f t="shared" si="12"/>
        <v>Low</v>
      </c>
    </row>
    <row r="70" spans="2:26" x14ac:dyDescent="0.2">
      <c r="B70" s="28" t="s">
        <v>422</v>
      </c>
      <c r="C70" s="28" t="s">
        <v>423</v>
      </c>
      <c r="D70" s="28" t="s">
        <v>274</v>
      </c>
      <c r="E70" s="28" t="str">
        <f>+_xlfn.XLOOKUP(D70,[1]Regiones!$B$4:$B$31,[1]Regiones!$G$4:$G$31)</f>
        <v>High</v>
      </c>
      <c r="F70" s="29">
        <f t="shared" si="14"/>
        <v>3</v>
      </c>
      <c r="G70" s="28">
        <f t="shared" ref="G70:G133" si="17">+F70*$G$3</f>
        <v>0.64290000000000003</v>
      </c>
      <c r="H70" s="28" t="s">
        <v>275</v>
      </c>
      <c r="I70" s="28">
        <f t="shared" ref="I70:I133" si="18">+_xlfn.XLOOKUP(H70,$AB$4:$AB$7,$AC$4:$AC$7)</f>
        <v>1</v>
      </c>
      <c r="J70" s="28">
        <f t="shared" ref="J70:J133" si="19">+I70*$J$3</f>
        <v>0.21429999999999999</v>
      </c>
      <c r="K70" s="28" t="s">
        <v>275</v>
      </c>
      <c r="L70" s="28">
        <f t="shared" ref="L70:L133" si="20">+_xlfn.XLOOKUP(K70,$AB$4:$AB$7,$AC$4:$AC$7)</f>
        <v>1</v>
      </c>
      <c r="M70" s="28">
        <f t="shared" ref="M70:M133" si="21">+L70*$M$3</f>
        <v>0.21429999999999999</v>
      </c>
      <c r="N70" s="28" t="s">
        <v>279</v>
      </c>
      <c r="O70" s="28">
        <f t="shared" si="15"/>
        <v>3</v>
      </c>
      <c r="P70" s="28">
        <f t="shared" ref="P70:P133" si="22">+O70*$P$3</f>
        <v>0.2142</v>
      </c>
      <c r="Q70" s="28" t="s">
        <v>275</v>
      </c>
      <c r="R70" s="28">
        <f t="shared" si="16"/>
        <v>1</v>
      </c>
      <c r="S70" s="28">
        <f t="shared" ref="S70:S133" si="23">+R70*$S$3</f>
        <v>0.1429</v>
      </c>
      <c r="T70" s="28" t="s">
        <v>276</v>
      </c>
      <c r="U70" s="28">
        <v>1</v>
      </c>
      <c r="V70" s="28">
        <f t="shared" ref="V70:V133" si="24">+U70*$V$3</f>
        <v>0.1429</v>
      </c>
      <c r="W70" s="30">
        <f t="shared" ref="W70:W133" si="25">+G70+J70+M70+P70+S70+V70</f>
        <v>1.5714999999999999</v>
      </c>
      <c r="X70" s="31">
        <f t="shared" si="13"/>
        <v>1.5714999999999999</v>
      </c>
      <c r="Y70" s="31">
        <v>2</v>
      </c>
      <c r="Z70" s="32" t="str">
        <f t="shared" ref="Z70:Z133" si="26">+_xlfn.XLOOKUP(Y70,$AC$4:$AC$7,$AB$4:$AB$7)</f>
        <v>Medium</v>
      </c>
    </row>
    <row r="71" spans="2:26" x14ac:dyDescent="0.2">
      <c r="B71" s="28" t="s">
        <v>424</v>
      </c>
      <c r="C71" s="28" t="s">
        <v>425</v>
      </c>
      <c r="D71" s="28" t="s">
        <v>316</v>
      </c>
      <c r="E71" s="28" t="str">
        <f>+_xlfn.XLOOKUP(D71,[1]Regiones!$B$4:$B$31,[1]Regiones!$G$4:$G$31)</f>
        <v>High</v>
      </c>
      <c r="F71" s="29">
        <f t="shared" si="14"/>
        <v>3</v>
      </c>
      <c r="G71" s="28">
        <f t="shared" si="17"/>
        <v>0.64290000000000003</v>
      </c>
      <c r="H71" s="28" t="s">
        <v>275</v>
      </c>
      <c r="I71" s="28">
        <f t="shared" si="18"/>
        <v>1</v>
      </c>
      <c r="J71" s="28">
        <f t="shared" si="19"/>
        <v>0.21429999999999999</v>
      </c>
      <c r="K71" s="28" t="s">
        <v>275</v>
      </c>
      <c r="L71" s="28">
        <f t="shared" si="20"/>
        <v>1</v>
      </c>
      <c r="M71" s="28">
        <f t="shared" si="21"/>
        <v>0.21429999999999999</v>
      </c>
      <c r="N71" s="28" t="s">
        <v>275</v>
      </c>
      <c r="O71" s="28">
        <f t="shared" si="15"/>
        <v>1</v>
      </c>
      <c r="P71" s="28">
        <f t="shared" si="22"/>
        <v>7.1400000000000005E-2</v>
      </c>
      <c r="Q71" s="28" t="s">
        <v>275</v>
      </c>
      <c r="R71" s="28">
        <f t="shared" si="16"/>
        <v>1</v>
      </c>
      <c r="S71" s="28">
        <f t="shared" si="23"/>
        <v>0.1429</v>
      </c>
      <c r="T71" s="28" t="s">
        <v>276</v>
      </c>
      <c r="U71" s="28">
        <v>1</v>
      </c>
      <c r="V71" s="28">
        <f t="shared" si="24"/>
        <v>0.1429</v>
      </c>
      <c r="W71" s="30">
        <f t="shared" si="25"/>
        <v>1.4286999999999999</v>
      </c>
      <c r="X71" s="31">
        <f t="shared" ref="X71:X134" si="27">+AVERAGE(W71)</f>
        <v>1.4286999999999999</v>
      </c>
      <c r="Y71" s="31">
        <v>1</v>
      </c>
      <c r="Z71" s="32" t="str">
        <f t="shared" si="26"/>
        <v>Low</v>
      </c>
    </row>
    <row r="72" spans="2:26" x14ac:dyDescent="0.2">
      <c r="B72" s="28" t="s">
        <v>426</v>
      </c>
      <c r="C72" s="28" t="s">
        <v>427</v>
      </c>
      <c r="D72" s="28" t="s">
        <v>328</v>
      </c>
      <c r="E72" s="28" t="str">
        <f>+_xlfn.XLOOKUP(D72,[1]Regiones!$B$4:$B$31,[1]Regiones!$G$4:$G$31)</f>
        <v>High</v>
      </c>
      <c r="F72" s="29">
        <f t="shared" si="14"/>
        <v>3</v>
      </c>
      <c r="G72" s="28">
        <f t="shared" si="17"/>
        <v>0.64290000000000003</v>
      </c>
      <c r="H72" s="28" t="s">
        <v>275</v>
      </c>
      <c r="I72" s="28">
        <f t="shared" si="18"/>
        <v>1</v>
      </c>
      <c r="J72" s="28">
        <f t="shared" si="19"/>
        <v>0.21429999999999999</v>
      </c>
      <c r="K72" s="28" t="s">
        <v>275</v>
      </c>
      <c r="L72" s="28">
        <f t="shared" si="20"/>
        <v>1</v>
      </c>
      <c r="M72" s="28">
        <f t="shared" si="21"/>
        <v>0.21429999999999999</v>
      </c>
      <c r="N72" s="28" t="s">
        <v>275</v>
      </c>
      <c r="O72" s="28">
        <f t="shared" si="15"/>
        <v>1</v>
      </c>
      <c r="P72" s="28">
        <f t="shared" si="22"/>
        <v>7.1400000000000005E-2</v>
      </c>
      <c r="Q72" s="28" t="s">
        <v>275</v>
      </c>
      <c r="R72" s="28">
        <f t="shared" si="16"/>
        <v>1</v>
      </c>
      <c r="S72" s="28">
        <f t="shared" si="23"/>
        <v>0.1429</v>
      </c>
      <c r="T72" s="28" t="s">
        <v>276</v>
      </c>
      <c r="U72" s="28">
        <v>1</v>
      </c>
      <c r="V72" s="28">
        <f t="shared" si="24"/>
        <v>0.1429</v>
      </c>
      <c r="W72" s="30">
        <f t="shared" si="25"/>
        <v>1.4286999999999999</v>
      </c>
      <c r="X72" s="31">
        <f t="shared" si="27"/>
        <v>1.4286999999999999</v>
      </c>
      <c r="Y72" s="31">
        <v>1</v>
      </c>
      <c r="Z72" s="32" t="str">
        <f t="shared" si="26"/>
        <v>Low</v>
      </c>
    </row>
    <row r="73" spans="2:26" x14ac:dyDescent="0.2">
      <c r="B73" s="28" t="s">
        <v>428</v>
      </c>
      <c r="C73" s="28" t="s">
        <v>429</v>
      </c>
      <c r="D73" s="28" t="s">
        <v>339</v>
      </c>
      <c r="E73" s="28" t="str">
        <f>+_xlfn.XLOOKUP(D73,[1]Regiones!$B$4:$B$31,[1]Regiones!$G$4:$G$31)</f>
        <v>Medium</v>
      </c>
      <c r="F73" s="29">
        <f t="shared" si="14"/>
        <v>2</v>
      </c>
      <c r="G73" s="28">
        <f t="shared" si="17"/>
        <v>0.42859999999999998</v>
      </c>
      <c r="H73" s="28" t="s">
        <v>275</v>
      </c>
      <c r="I73" s="28">
        <f t="shared" si="18"/>
        <v>1</v>
      </c>
      <c r="J73" s="28">
        <f t="shared" si="19"/>
        <v>0.21429999999999999</v>
      </c>
      <c r="K73" s="28" t="s">
        <v>275</v>
      </c>
      <c r="L73" s="28">
        <f t="shared" si="20"/>
        <v>1</v>
      </c>
      <c r="M73" s="28">
        <f t="shared" si="21"/>
        <v>0.21429999999999999</v>
      </c>
      <c r="N73" s="28" t="s">
        <v>279</v>
      </c>
      <c r="O73" s="28">
        <f t="shared" si="15"/>
        <v>3</v>
      </c>
      <c r="P73" s="28">
        <f t="shared" si="22"/>
        <v>0.2142</v>
      </c>
      <c r="Q73" s="28" t="s">
        <v>275</v>
      </c>
      <c r="R73" s="28">
        <f t="shared" si="16"/>
        <v>1</v>
      </c>
      <c r="S73" s="28">
        <f t="shared" si="23"/>
        <v>0.1429</v>
      </c>
      <c r="T73" s="28" t="s">
        <v>276</v>
      </c>
      <c r="U73" s="28">
        <v>1</v>
      </c>
      <c r="V73" s="28">
        <f t="shared" si="24"/>
        <v>0.1429</v>
      </c>
      <c r="W73" s="30">
        <f t="shared" si="25"/>
        <v>1.3572</v>
      </c>
      <c r="X73" s="31">
        <f t="shared" si="27"/>
        <v>1.3572</v>
      </c>
      <c r="Y73" s="31">
        <v>1</v>
      </c>
      <c r="Z73" s="32" t="str">
        <f t="shared" si="26"/>
        <v>Low</v>
      </c>
    </row>
    <row r="74" spans="2:26" x14ac:dyDescent="0.2">
      <c r="B74" s="28" t="s">
        <v>430</v>
      </c>
      <c r="C74" s="28" t="s">
        <v>431</v>
      </c>
      <c r="D74" s="28" t="s">
        <v>274</v>
      </c>
      <c r="E74" s="28" t="str">
        <f>+_xlfn.XLOOKUP(D74,[1]Regiones!$B$4:$B$31,[1]Regiones!$G$4:$G$31)</f>
        <v>High</v>
      </c>
      <c r="F74" s="29">
        <f t="shared" si="14"/>
        <v>3</v>
      </c>
      <c r="G74" s="28">
        <f t="shared" si="17"/>
        <v>0.64290000000000003</v>
      </c>
      <c r="H74" s="28" t="s">
        <v>275</v>
      </c>
      <c r="I74" s="28">
        <f t="shared" si="18"/>
        <v>1</v>
      </c>
      <c r="J74" s="28">
        <f t="shared" si="19"/>
        <v>0.21429999999999999</v>
      </c>
      <c r="K74" s="28" t="s">
        <v>275</v>
      </c>
      <c r="L74" s="28">
        <f t="shared" si="20"/>
        <v>1</v>
      </c>
      <c r="M74" s="28">
        <f t="shared" si="21"/>
        <v>0.21429999999999999</v>
      </c>
      <c r="N74" s="28" t="s">
        <v>279</v>
      </c>
      <c r="O74" s="28">
        <f t="shared" si="15"/>
        <v>3</v>
      </c>
      <c r="P74" s="28">
        <f t="shared" si="22"/>
        <v>0.2142</v>
      </c>
      <c r="Q74" s="28" t="s">
        <v>279</v>
      </c>
      <c r="R74" s="28">
        <f t="shared" si="16"/>
        <v>3</v>
      </c>
      <c r="S74" s="28">
        <f t="shared" si="23"/>
        <v>0.42869999999999997</v>
      </c>
      <c r="T74" s="28" t="s">
        <v>276</v>
      </c>
      <c r="U74" s="28">
        <v>1</v>
      </c>
      <c r="V74" s="28">
        <f t="shared" si="24"/>
        <v>0.1429</v>
      </c>
      <c r="W74" s="30">
        <f t="shared" si="25"/>
        <v>1.8573</v>
      </c>
      <c r="X74" s="31">
        <f t="shared" si="27"/>
        <v>1.8573</v>
      </c>
      <c r="Y74" s="31">
        <v>2</v>
      </c>
      <c r="Z74" s="32" t="str">
        <f t="shared" si="26"/>
        <v>Medium</v>
      </c>
    </row>
    <row r="75" spans="2:26" x14ac:dyDescent="0.2">
      <c r="B75" s="28" t="s">
        <v>432</v>
      </c>
      <c r="C75" s="28" t="s">
        <v>433</v>
      </c>
      <c r="D75" s="28" t="s">
        <v>274</v>
      </c>
      <c r="E75" s="28" t="str">
        <f>+_xlfn.XLOOKUP(D75,[1]Regiones!$B$4:$B$31,[1]Regiones!$G$4:$G$31)</f>
        <v>High</v>
      </c>
      <c r="F75" s="29">
        <f t="shared" si="14"/>
        <v>3</v>
      </c>
      <c r="G75" s="28">
        <f t="shared" si="17"/>
        <v>0.64290000000000003</v>
      </c>
      <c r="H75" s="28" t="s">
        <v>275</v>
      </c>
      <c r="I75" s="28">
        <f t="shared" si="18"/>
        <v>1</v>
      </c>
      <c r="J75" s="28">
        <f t="shared" si="19"/>
        <v>0.21429999999999999</v>
      </c>
      <c r="K75" s="28" t="s">
        <v>275</v>
      </c>
      <c r="L75" s="28">
        <f t="shared" si="20"/>
        <v>1</v>
      </c>
      <c r="M75" s="28">
        <f t="shared" si="21"/>
        <v>0.21429999999999999</v>
      </c>
      <c r="N75" s="28" t="s">
        <v>275</v>
      </c>
      <c r="O75" s="28">
        <f t="shared" si="15"/>
        <v>1</v>
      </c>
      <c r="P75" s="28">
        <f t="shared" si="22"/>
        <v>7.1400000000000005E-2</v>
      </c>
      <c r="Q75" s="28" t="s">
        <v>275</v>
      </c>
      <c r="R75" s="28">
        <f t="shared" si="16"/>
        <v>1</v>
      </c>
      <c r="S75" s="28">
        <f t="shared" si="23"/>
        <v>0.1429</v>
      </c>
      <c r="T75" s="28" t="s">
        <v>276</v>
      </c>
      <c r="U75" s="28">
        <v>1</v>
      </c>
      <c r="V75" s="28">
        <f t="shared" si="24"/>
        <v>0.1429</v>
      </c>
      <c r="W75" s="30">
        <f t="shared" si="25"/>
        <v>1.4286999999999999</v>
      </c>
      <c r="X75" s="31">
        <f t="shared" si="27"/>
        <v>1.4286999999999999</v>
      </c>
      <c r="Y75" s="31">
        <v>1</v>
      </c>
      <c r="Z75" s="32" t="str">
        <f t="shared" si="26"/>
        <v>Low</v>
      </c>
    </row>
    <row r="76" spans="2:26" x14ac:dyDescent="0.2">
      <c r="B76" s="28" t="s">
        <v>434</v>
      </c>
      <c r="C76" s="28" t="s">
        <v>435</v>
      </c>
      <c r="D76" s="28" t="s">
        <v>411</v>
      </c>
      <c r="E76" s="28" t="str">
        <f>+_xlfn.XLOOKUP(D76,[1]Regiones!$B$4:$B$31,[1]Regiones!$G$4:$G$31)</f>
        <v>High</v>
      </c>
      <c r="F76" s="29">
        <f t="shared" si="14"/>
        <v>3</v>
      </c>
      <c r="G76" s="28">
        <f t="shared" si="17"/>
        <v>0.64290000000000003</v>
      </c>
      <c r="H76" s="28" t="s">
        <v>275</v>
      </c>
      <c r="I76" s="28">
        <f t="shared" si="18"/>
        <v>1</v>
      </c>
      <c r="J76" s="28">
        <f t="shared" si="19"/>
        <v>0.21429999999999999</v>
      </c>
      <c r="K76" s="28" t="s">
        <v>275</v>
      </c>
      <c r="L76" s="28">
        <f t="shared" si="20"/>
        <v>1</v>
      </c>
      <c r="M76" s="28">
        <f t="shared" si="21"/>
        <v>0.21429999999999999</v>
      </c>
      <c r="N76" s="28" t="s">
        <v>279</v>
      </c>
      <c r="O76" s="28">
        <f t="shared" si="15"/>
        <v>3</v>
      </c>
      <c r="P76" s="28">
        <f t="shared" si="22"/>
        <v>0.2142</v>
      </c>
      <c r="Q76" s="28" t="s">
        <v>275</v>
      </c>
      <c r="R76" s="28">
        <f t="shared" si="16"/>
        <v>1</v>
      </c>
      <c r="S76" s="28">
        <f t="shared" si="23"/>
        <v>0.1429</v>
      </c>
      <c r="T76" s="28" t="s">
        <v>280</v>
      </c>
      <c r="U76" s="28">
        <v>3</v>
      </c>
      <c r="V76" s="28">
        <f t="shared" si="24"/>
        <v>0.42869999999999997</v>
      </c>
      <c r="W76" s="30">
        <f t="shared" si="25"/>
        <v>1.8573</v>
      </c>
      <c r="X76" s="31">
        <f t="shared" si="27"/>
        <v>1.8573</v>
      </c>
      <c r="Y76" s="31">
        <v>2</v>
      </c>
      <c r="Z76" s="32" t="str">
        <f t="shared" si="26"/>
        <v>Medium</v>
      </c>
    </row>
    <row r="77" spans="2:26" x14ac:dyDescent="0.2">
      <c r="B77" s="28" t="s">
        <v>436</v>
      </c>
      <c r="C77" s="28" t="s">
        <v>437</v>
      </c>
      <c r="D77" s="28" t="s">
        <v>293</v>
      </c>
      <c r="E77" s="28" t="str">
        <f>+_xlfn.XLOOKUP(D77,[1]Regiones!$B$4:$B$31,[1]Regiones!$G$4:$G$31)</f>
        <v>High</v>
      </c>
      <c r="F77" s="29">
        <f t="shared" si="14"/>
        <v>3</v>
      </c>
      <c r="G77" s="28">
        <f t="shared" si="17"/>
        <v>0.64290000000000003</v>
      </c>
      <c r="H77" s="28" t="s">
        <v>275</v>
      </c>
      <c r="I77" s="28">
        <f t="shared" si="18"/>
        <v>1</v>
      </c>
      <c r="J77" s="28">
        <f t="shared" si="19"/>
        <v>0.21429999999999999</v>
      </c>
      <c r="K77" s="28" t="s">
        <v>275</v>
      </c>
      <c r="L77" s="28">
        <f t="shared" si="20"/>
        <v>1</v>
      </c>
      <c r="M77" s="28">
        <f t="shared" si="21"/>
        <v>0.21429999999999999</v>
      </c>
      <c r="N77" s="28" t="s">
        <v>275</v>
      </c>
      <c r="O77" s="28">
        <f t="shared" si="15"/>
        <v>1</v>
      </c>
      <c r="P77" s="28">
        <f t="shared" si="22"/>
        <v>7.1400000000000005E-2</v>
      </c>
      <c r="Q77" s="28" t="s">
        <v>275</v>
      </c>
      <c r="R77" s="28">
        <f t="shared" si="16"/>
        <v>1</v>
      </c>
      <c r="S77" s="28">
        <f t="shared" si="23"/>
        <v>0.1429</v>
      </c>
      <c r="T77" s="28" t="s">
        <v>276</v>
      </c>
      <c r="U77" s="28">
        <v>1</v>
      </c>
      <c r="V77" s="28">
        <f t="shared" si="24"/>
        <v>0.1429</v>
      </c>
      <c r="W77" s="30">
        <f t="shared" si="25"/>
        <v>1.4286999999999999</v>
      </c>
      <c r="X77" s="31">
        <f t="shared" si="27"/>
        <v>1.4286999999999999</v>
      </c>
      <c r="Y77" s="31">
        <v>1</v>
      </c>
      <c r="Z77" s="32" t="str">
        <f t="shared" si="26"/>
        <v>Low</v>
      </c>
    </row>
    <row r="78" spans="2:26" x14ac:dyDescent="0.2">
      <c r="B78" s="28" t="s">
        <v>438</v>
      </c>
      <c r="C78" s="28" t="s">
        <v>439</v>
      </c>
      <c r="D78" s="28" t="s">
        <v>387</v>
      </c>
      <c r="E78" s="28" t="str">
        <f>+_xlfn.XLOOKUP(D78,[1]Regiones!$B$4:$B$31,[1]Regiones!$G$4:$G$31)</f>
        <v>High</v>
      </c>
      <c r="F78" s="29">
        <f t="shared" si="14"/>
        <v>3</v>
      </c>
      <c r="G78" s="28">
        <f t="shared" si="17"/>
        <v>0.64290000000000003</v>
      </c>
      <c r="H78" s="28" t="s">
        <v>275</v>
      </c>
      <c r="I78" s="28">
        <f t="shared" si="18"/>
        <v>1</v>
      </c>
      <c r="J78" s="28">
        <f t="shared" si="19"/>
        <v>0.21429999999999999</v>
      </c>
      <c r="K78" s="28" t="s">
        <v>275</v>
      </c>
      <c r="L78" s="28">
        <f t="shared" si="20"/>
        <v>1</v>
      </c>
      <c r="M78" s="28">
        <f t="shared" si="21"/>
        <v>0.21429999999999999</v>
      </c>
      <c r="N78" s="28" t="s">
        <v>275</v>
      </c>
      <c r="O78" s="28">
        <f t="shared" si="15"/>
        <v>1</v>
      </c>
      <c r="P78" s="28">
        <f t="shared" si="22"/>
        <v>7.1400000000000005E-2</v>
      </c>
      <c r="Q78" s="28" t="s">
        <v>275</v>
      </c>
      <c r="R78" s="28">
        <f t="shared" si="16"/>
        <v>1</v>
      </c>
      <c r="S78" s="28">
        <f t="shared" si="23"/>
        <v>0.1429</v>
      </c>
      <c r="T78" s="28" t="s">
        <v>276</v>
      </c>
      <c r="U78" s="28">
        <v>1</v>
      </c>
      <c r="V78" s="28">
        <f t="shared" si="24"/>
        <v>0.1429</v>
      </c>
      <c r="W78" s="30">
        <f t="shared" si="25"/>
        <v>1.4286999999999999</v>
      </c>
      <c r="X78" s="31">
        <f t="shared" si="27"/>
        <v>1.4286999999999999</v>
      </c>
      <c r="Y78" s="31">
        <v>1</v>
      </c>
      <c r="Z78" s="32" t="str">
        <f t="shared" si="26"/>
        <v>Low</v>
      </c>
    </row>
    <row r="79" spans="2:26" x14ac:dyDescent="0.2">
      <c r="B79" s="28" t="s">
        <v>440</v>
      </c>
      <c r="C79" s="28" t="s">
        <v>441</v>
      </c>
      <c r="D79" s="28" t="s">
        <v>274</v>
      </c>
      <c r="E79" s="28" t="str">
        <f>+_xlfn.XLOOKUP(D79,[1]Regiones!$B$4:$B$31,[1]Regiones!$G$4:$G$31)</f>
        <v>High</v>
      </c>
      <c r="F79" s="29">
        <f t="shared" si="14"/>
        <v>3</v>
      </c>
      <c r="G79" s="28">
        <f t="shared" si="17"/>
        <v>0.64290000000000003</v>
      </c>
      <c r="H79" s="28" t="s">
        <v>275</v>
      </c>
      <c r="I79" s="28">
        <f t="shared" si="18"/>
        <v>1</v>
      </c>
      <c r="J79" s="28">
        <f t="shared" si="19"/>
        <v>0.21429999999999999</v>
      </c>
      <c r="K79" s="28" t="s">
        <v>275</v>
      </c>
      <c r="L79" s="28">
        <f t="shared" si="20"/>
        <v>1</v>
      </c>
      <c r="M79" s="28">
        <f t="shared" si="21"/>
        <v>0.21429999999999999</v>
      </c>
      <c r="N79" s="28" t="s">
        <v>275</v>
      </c>
      <c r="O79" s="28">
        <f t="shared" si="15"/>
        <v>1</v>
      </c>
      <c r="P79" s="28">
        <f t="shared" si="22"/>
        <v>7.1400000000000005E-2</v>
      </c>
      <c r="Q79" s="28" t="s">
        <v>275</v>
      </c>
      <c r="R79" s="28">
        <f t="shared" si="16"/>
        <v>1</v>
      </c>
      <c r="S79" s="28">
        <f t="shared" si="23"/>
        <v>0.1429</v>
      </c>
      <c r="T79" s="28" t="s">
        <v>276</v>
      </c>
      <c r="U79" s="28">
        <v>1</v>
      </c>
      <c r="V79" s="28">
        <f t="shared" si="24"/>
        <v>0.1429</v>
      </c>
      <c r="W79" s="30">
        <f t="shared" si="25"/>
        <v>1.4286999999999999</v>
      </c>
      <c r="X79" s="31">
        <f t="shared" si="27"/>
        <v>1.4286999999999999</v>
      </c>
      <c r="Y79" s="31">
        <v>1</v>
      </c>
      <c r="Z79" s="32" t="str">
        <f t="shared" si="26"/>
        <v>Low</v>
      </c>
    </row>
    <row r="80" spans="2:26" x14ac:dyDescent="0.2">
      <c r="B80" s="28" t="s">
        <v>442</v>
      </c>
      <c r="C80" s="28" t="s">
        <v>443</v>
      </c>
      <c r="D80" s="28" t="s">
        <v>274</v>
      </c>
      <c r="E80" s="28" t="str">
        <f>+_xlfn.XLOOKUP(D80,[1]Regiones!$B$4:$B$31,[1]Regiones!$G$4:$G$31)</f>
        <v>High</v>
      </c>
      <c r="F80" s="29">
        <f t="shared" si="14"/>
        <v>3</v>
      </c>
      <c r="G80" s="28">
        <f t="shared" si="17"/>
        <v>0.64290000000000003</v>
      </c>
      <c r="H80" s="28" t="s">
        <v>275</v>
      </c>
      <c r="I80" s="28">
        <f t="shared" si="18"/>
        <v>1</v>
      </c>
      <c r="J80" s="28">
        <f t="shared" si="19"/>
        <v>0.21429999999999999</v>
      </c>
      <c r="K80" s="28" t="s">
        <v>275</v>
      </c>
      <c r="L80" s="28">
        <f t="shared" si="20"/>
        <v>1</v>
      </c>
      <c r="M80" s="28">
        <f t="shared" si="21"/>
        <v>0.21429999999999999</v>
      </c>
      <c r="N80" s="28" t="s">
        <v>279</v>
      </c>
      <c r="O80" s="28">
        <f t="shared" si="15"/>
        <v>3</v>
      </c>
      <c r="P80" s="28">
        <f t="shared" si="22"/>
        <v>0.2142</v>
      </c>
      <c r="Q80" s="28" t="s">
        <v>279</v>
      </c>
      <c r="R80" s="28">
        <f t="shared" si="16"/>
        <v>3</v>
      </c>
      <c r="S80" s="28">
        <f t="shared" si="23"/>
        <v>0.42869999999999997</v>
      </c>
      <c r="T80" s="28" t="s">
        <v>276</v>
      </c>
      <c r="U80" s="28">
        <v>1</v>
      </c>
      <c r="V80" s="28">
        <f t="shared" si="24"/>
        <v>0.1429</v>
      </c>
      <c r="W80" s="30">
        <f t="shared" si="25"/>
        <v>1.8573</v>
      </c>
      <c r="X80" s="31">
        <f t="shared" si="27"/>
        <v>1.8573</v>
      </c>
      <c r="Y80" s="31">
        <v>2</v>
      </c>
      <c r="Z80" s="32" t="str">
        <f t="shared" si="26"/>
        <v>Medium</v>
      </c>
    </row>
    <row r="81" spans="2:26" x14ac:dyDescent="0.2">
      <c r="B81" s="28" t="s">
        <v>444</v>
      </c>
      <c r="C81" s="28" t="s">
        <v>445</v>
      </c>
      <c r="D81" s="28" t="s">
        <v>274</v>
      </c>
      <c r="E81" s="28" t="str">
        <f>+_xlfn.XLOOKUP(D81,[1]Regiones!$B$4:$B$31,[1]Regiones!$G$4:$G$31)</f>
        <v>High</v>
      </c>
      <c r="F81" s="29">
        <f t="shared" si="14"/>
        <v>3</v>
      </c>
      <c r="G81" s="28">
        <f t="shared" si="17"/>
        <v>0.64290000000000003</v>
      </c>
      <c r="H81" s="28" t="s">
        <v>275</v>
      </c>
      <c r="I81" s="28">
        <f t="shared" si="18"/>
        <v>1</v>
      </c>
      <c r="J81" s="28">
        <f t="shared" si="19"/>
        <v>0.21429999999999999</v>
      </c>
      <c r="K81" s="28" t="s">
        <v>275</v>
      </c>
      <c r="L81" s="28">
        <f t="shared" si="20"/>
        <v>1</v>
      </c>
      <c r="M81" s="28">
        <f t="shared" si="21"/>
        <v>0.21429999999999999</v>
      </c>
      <c r="N81" s="28" t="s">
        <v>275</v>
      </c>
      <c r="O81" s="28">
        <f t="shared" si="15"/>
        <v>1</v>
      </c>
      <c r="P81" s="28">
        <f t="shared" si="22"/>
        <v>7.1400000000000005E-2</v>
      </c>
      <c r="Q81" s="28" t="s">
        <v>275</v>
      </c>
      <c r="R81" s="28">
        <f t="shared" si="16"/>
        <v>1</v>
      </c>
      <c r="S81" s="28">
        <f t="shared" si="23"/>
        <v>0.1429</v>
      </c>
      <c r="T81" s="28" t="s">
        <v>276</v>
      </c>
      <c r="U81" s="28">
        <v>1</v>
      </c>
      <c r="V81" s="28">
        <f t="shared" si="24"/>
        <v>0.1429</v>
      </c>
      <c r="W81" s="30">
        <f t="shared" si="25"/>
        <v>1.4286999999999999</v>
      </c>
      <c r="X81" s="31">
        <f t="shared" si="27"/>
        <v>1.4286999999999999</v>
      </c>
      <c r="Y81" s="31">
        <v>1</v>
      </c>
      <c r="Z81" s="32" t="str">
        <f t="shared" si="26"/>
        <v>Low</v>
      </c>
    </row>
    <row r="82" spans="2:26" x14ac:dyDescent="0.2">
      <c r="B82" s="28" t="s">
        <v>446</v>
      </c>
      <c r="C82" s="28" t="s">
        <v>447</v>
      </c>
      <c r="D82" s="28" t="s">
        <v>274</v>
      </c>
      <c r="E82" s="28" t="str">
        <f>+_xlfn.XLOOKUP(D82,[1]Regiones!$B$4:$B$31,[1]Regiones!$G$4:$G$31)</f>
        <v>High</v>
      </c>
      <c r="F82" s="29">
        <f t="shared" si="14"/>
        <v>3</v>
      </c>
      <c r="G82" s="28">
        <f t="shared" si="17"/>
        <v>0.64290000000000003</v>
      </c>
      <c r="H82" s="28" t="s">
        <v>275</v>
      </c>
      <c r="I82" s="28">
        <f t="shared" si="18"/>
        <v>1</v>
      </c>
      <c r="J82" s="28">
        <f t="shared" si="19"/>
        <v>0.21429999999999999</v>
      </c>
      <c r="K82" s="28" t="s">
        <v>275</v>
      </c>
      <c r="L82" s="28">
        <f t="shared" si="20"/>
        <v>1</v>
      </c>
      <c r="M82" s="28">
        <f t="shared" si="21"/>
        <v>0.21429999999999999</v>
      </c>
      <c r="N82" s="28" t="s">
        <v>275</v>
      </c>
      <c r="O82" s="28">
        <f t="shared" si="15"/>
        <v>1</v>
      </c>
      <c r="P82" s="28">
        <f t="shared" si="22"/>
        <v>7.1400000000000005E-2</v>
      </c>
      <c r="Q82" s="28" t="s">
        <v>275</v>
      </c>
      <c r="R82" s="28">
        <f t="shared" si="16"/>
        <v>1</v>
      </c>
      <c r="S82" s="28">
        <f t="shared" si="23"/>
        <v>0.1429</v>
      </c>
      <c r="T82" s="28" t="s">
        <v>276</v>
      </c>
      <c r="U82" s="28">
        <v>1</v>
      </c>
      <c r="V82" s="28">
        <f t="shared" si="24"/>
        <v>0.1429</v>
      </c>
      <c r="W82" s="30">
        <f t="shared" si="25"/>
        <v>1.4286999999999999</v>
      </c>
      <c r="X82" s="31">
        <f t="shared" si="27"/>
        <v>1.4286999999999999</v>
      </c>
      <c r="Y82" s="31">
        <v>1</v>
      </c>
      <c r="Z82" s="32" t="str">
        <f t="shared" si="26"/>
        <v>Low</v>
      </c>
    </row>
    <row r="83" spans="2:26" x14ac:dyDescent="0.2">
      <c r="B83" s="28" t="s">
        <v>448</v>
      </c>
      <c r="C83" s="28" t="s">
        <v>449</v>
      </c>
      <c r="D83" s="28" t="s">
        <v>274</v>
      </c>
      <c r="E83" s="28" t="str">
        <f>+_xlfn.XLOOKUP(D83,[1]Regiones!$B$4:$B$31,[1]Regiones!$G$4:$G$31)</f>
        <v>High</v>
      </c>
      <c r="F83" s="29">
        <f t="shared" si="14"/>
        <v>3</v>
      </c>
      <c r="G83" s="28">
        <f t="shared" si="17"/>
        <v>0.64290000000000003</v>
      </c>
      <c r="H83" s="28" t="s">
        <v>275</v>
      </c>
      <c r="I83" s="28">
        <f t="shared" si="18"/>
        <v>1</v>
      </c>
      <c r="J83" s="28">
        <f t="shared" si="19"/>
        <v>0.21429999999999999</v>
      </c>
      <c r="K83" s="28" t="s">
        <v>275</v>
      </c>
      <c r="L83" s="28">
        <f t="shared" si="20"/>
        <v>1</v>
      </c>
      <c r="M83" s="28">
        <f t="shared" si="21"/>
        <v>0.21429999999999999</v>
      </c>
      <c r="N83" s="28" t="s">
        <v>279</v>
      </c>
      <c r="O83" s="28">
        <f t="shared" si="15"/>
        <v>3</v>
      </c>
      <c r="P83" s="28">
        <f t="shared" si="22"/>
        <v>0.2142</v>
      </c>
      <c r="Q83" s="28" t="s">
        <v>279</v>
      </c>
      <c r="R83" s="28">
        <f t="shared" si="16"/>
        <v>3</v>
      </c>
      <c r="S83" s="28">
        <f t="shared" si="23"/>
        <v>0.42869999999999997</v>
      </c>
      <c r="T83" s="28" t="s">
        <v>276</v>
      </c>
      <c r="U83" s="28">
        <v>1</v>
      </c>
      <c r="V83" s="28">
        <f t="shared" si="24"/>
        <v>0.1429</v>
      </c>
      <c r="W83" s="30">
        <f t="shared" si="25"/>
        <v>1.8573</v>
      </c>
      <c r="X83" s="31">
        <f t="shared" si="27"/>
        <v>1.8573</v>
      </c>
      <c r="Y83" s="31">
        <v>2</v>
      </c>
      <c r="Z83" s="32" t="str">
        <f t="shared" si="26"/>
        <v>Medium</v>
      </c>
    </row>
    <row r="84" spans="2:26" x14ac:dyDescent="0.2">
      <c r="B84" s="28" t="s">
        <v>450</v>
      </c>
      <c r="C84" s="28" t="s">
        <v>451</v>
      </c>
      <c r="D84" s="28" t="s">
        <v>274</v>
      </c>
      <c r="E84" s="28" t="str">
        <f>+_xlfn.XLOOKUP(D84,[1]Regiones!$B$4:$B$31,[1]Regiones!$G$4:$G$31)</f>
        <v>High</v>
      </c>
      <c r="F84" s="29">
        <f t="shared" si="14"/>
        <v>3</v>
      </c>
      <c r="G84" s="28">
        <f t="shared" si="17"/>
        <v>0.64290000000000003</v>
      </c>
      <c r="H84" s="28" t="s">
        <v>275</v>
      </c>
      <c r="I84" s="28">
        <f t="shared" si="18"/>
        <v>1</v>
      </c>
      <c r="J84" s="28">
        <f t="shared" si="19"/>
        <v>0.21429999999999999</v>
      </c>
      <c r="K84" s="28" t="s">
        <v>275</v>
      </c>
      <c r="L84" s="28">
        <f t="shared" si="20"/>
        <v>1</v>
      </c>
      <c r="M84" s="28">
        <f t="shared" si="21"/>
        <v>0.21429999999999999</v>
      </c>
      <c r="N84" s="28" t="s">
        <v>275</v>
      </c>
      <c r="O84" s="28">
        <f t="shared" si="15"/>
        <v>1</v>
      </c>
      <c r="P84" s="28">
        <f t="shared" si="22"/>
        <v>7.1400000000000005E-2</v>
      </c>
      <c r="Q84" s="28" t="s">
        <v>275</v>
      </c>
      <c r="R84" s="28">
        <f t="shared" si="16"/>
        <v>1</v>
      </c>
      <c r="S84" s="28">
        <f t="shared" si="23"/>
        <v>0.1429</v>
      </c>
      <c r="T84" s="28" t="s">
        <v>276</v>
      </c>
      <c r="U84" s="28">
        <v>1</v>
      </c>
      <c r="V84" s="28">
        <f t="shared" si="24"/>
        <v>0.1429</v>
      </c>
      <c r="W84" s="30">
        <f t="shared" si="25"/>
        <v>1.4286999999999999</v>
      </c>
      <c r="X84" s="31">
        <f t="shared" si="27"/>
        <v>1.4286999999999999</v>
      </c>
      <c r="Y84" s="31">
        <v>1</v>
      </c>
      <c r="Z84" s="32" t="str">
        <f t="shared" si="26"/>
        <v>Low</v>
      </c>
    </row>
    <row r="85" spans="2:26" x14ac:dyDescent="0.2">
      <c r="B85" s="28" t="s">
        <v>452</v>
      </c>
      <c r="C85" s="28" t="s">
        <v>453</v>
      </c>
      <c r="D85" s="28" t="s">
        <v>274</v>
      </c>
      <c r="E85" s="28" t="str">
        <f>+_xlfn.XLOOKUP(D85,[1]Regiones!$B$4:$B$31,[1]Regiones!$G$4:$G$31)</f>
        <v>High</v>
      </c>
      <c r="F85" s="29">
        <f t="shared" si="14"/>
        <v>3</v>
      </c>
      <c r="G85" s="28">
        <f t="shared" si="17"/>
        <v>0.64290000000000003</v>
      </c>
      <c r="H85" s="28" t="s">
        <v>275</v>
      </c>
      <c r="I85" s="28">
        <f t="shared" si="18"/>
        <v>1</v>
      </c>
      <c r="J85" s="28">
        <f t="shared" si="19"/>
        <v>0.21429999999999999</v>
      </c>
      <c r="K85" s="28" t="s">
        <v>275</v>
      </c>
      <c r="L85" s="28">
        <f t="shared" si="20"/>
        <v>1</v>
      </c>
      <c r="M85" s="28">
        <f t="shared" si="21"/>
        <v>0.21429999999999999</v>
      </c>
      <c r="N85" s="28" t="s">
        <v>275</v>
      </c>
      <c r="O85" s="28">
        <f t="shared" si="15"/>
        <v>1</v>
      </c>
      <c r="P85" s="28">
        <f t="shared" si="22"/>
        <v>7.1400000000000005E-2</v>
      </c>
      <c r="Q85" s="28" t="s">
        <v>275</v>
      </c>
      <c r="R85" s="28">
        <f t="shared" si="16"/>
        <v>1</v>
      </c>
      <c r="S85" s="28">
        <f t="shared" si="23"/>
        <v>0.1429</v>
      </c>
      <c r="T85" s="28" t="s">
        <v>276</v>
      </c>
      <c r="U85" s="28">
        <v>1</v>
      </c>
      <c r="V85" s="28">
        <f t="shared" si="24"/>
        <v>0.1429</v>
      </c>
      <c r="W85" s="30">
        <f t="shared" si="25"/>
        <v>1.4286999999999999</v>
      </c>
      <c r="X85" s="31">
        <f t="shared" si="27"/>
        <v>1.4286999999999999</v>
      </c>
      <c r="Y85" s="31">
        <v>1</v>
      </c>
      <c r="Z85" s="32" t="str">
        <f t="shared" si="26"/>
        <v>Low</v>
      </c>
    </row>
    <row r="86" spans="2:26" x14ac:dyDescent="0.2">
      <c r="B86" s="28" t="s">
        <v>454</v>
      </c>
      <c r="C86" s="28" t="s">
        <v>455</v>
      </c>
      <c r="D86" s="28" t="s">
        <v>274</v>
      </c>
      <c r="E86" s="28" t="str">
        <f>+_xlfn.XLOOKUP(D86,[1]Regiones!$B$4:$B$31,[1]Regiones!$G$4:$G$31)</f>
        <v>High</v>
      </c>
      <c r="F86" s="29">
        <f t="shared" si="14"/>
        <v>3</v>
      </c>
      <c r="G86" s="28">
        <f t="shared" si="17"/>
        <v>0.64290000000000003</v>
      </c>
      <c r="H86" s="28" t="s">
        <v>275</v>
      </c>
      <c r="I86" s="28">
        <f t="shared" si="18"/>
        <v>1</v>
      </c>
      <c r="J86" s="28">
        <f t="shared" si="19"/>
        <v>0.21429999999999999</v>
      </c>
      <c r="K86" s="28" t="s">
        <v>275</v>
      </c>
      <c r="L86" s="28">
        <f t="shared" si="20"/>
        <v>1</v>
      </c>
      <c r="M86" s="28">
        <f t="shared" si="21"/>
        <v>0.21429999999999999</v>
      </c>
      <c r="N86" s="28" t="s">
        <v>275</v>
      </c>
      <c r="O86" s="28">
        <f t="shared" si="15"/>
        <v>1</v>
      </c>
      <c r="P86" s="28">
        <f t="shared" si="22"/>
        <v>7.1400000000000005E-2</v>
      </c>
      <c r="Q86" s="28" t="s">
        <v>275</v>
      </c>
      <c r="R86" s="28">
        <f t="shared" si="16"/>
        <v>1</v>
      </c>
      <c r="S86" s="28">
        <f t="shared" si="23"/>
        <v>0.1429</v>
      </c>
      <c r="T86" s="28" t="s">
        <v>276</v>
      </c>
      <c r="U86" s="28">
        <v>1</v>
      </c>
      <c r="V86" s="28">
        <f t="shared" si="24"/>
        <v>0.1429</v>
      </c>
      <c r="W86" s="30">
        <f t="shared" si="25"/>
        <v>1.4286999999999999</v>
      </c>
      <c r="X86" s="31">
        <f t="shared" si="27"/>
        <v>1.4286999999999999</v>
      </c>
      <c r="Y86" s="31">
        <v>1</v>
      </c>
      <c r="Z86" s="32" t="str">
        <f t="shared" si="26"/>
        <v>Low</v>
      </c>
    </row>
    <row r="87" spans="2:26" x14ac:dyDescent="0.2">
      <c r="B87" s="28" t="s">
        <v>456</v>
      </c>
      <c r="C87" s="28" t="s">
        <v>457</v>
      </c>
      <c r="D87" s="28" t="s">
        <v>274</v>
      </c>
      <c r="E87" s="28" t="str">
        <f>+_xlfn.XLOOKUP(D87,[1]Regiones!$B$4:$B$31,[1]Regiones!$G$4:$G$31)</f>
        <v>High</v>
      </c>
      <c r="F87" s="29">
        <f t="shared" si="14"/>
        <v>3</v>
      </c>
      <c r="G87" s="28">
        <f t="shared" si="17"/>
        <v>0.64290000000000003</v>
      </c>
      <c r="H87" s="28" t="s">
        <v>275</v>
      </c>
      <c r="I87" s="28">
        <f t="shared" si="18"/>
        <v>1</v>
      </c>
      <c r="J87" s="28">
        <f t="shared" si="19"/>
        <v>0.21429999999999999</v>
      </c>
      <c r="K87" s="28" t="s">
        <v>275</v>
      </c>
      <c r="L87" s="28">
        <f t="shared" si="20"/>
        <v>1</v>
      </c>
      <c r="M87" s="28">
        <f t="shared" si="21"/>
        <v>0.21429999999999999</v>
      </c>
      <c r="N87" s="28" t="s">
        <v>275</v>
      </c>
      <c r="O87" s="28">
        <f t="shared" si="15"/>
        <v>1</v>
      </c>
      <c r="P87" s="28">
        <f t="shared" si="22"/>
        <v>7.1400000000000005E-2</v>
      </c>
      <c r="Q87" s="28" t="s">
        <v>275</v>
      </c>
      <c r="R87" s="28">
        <f t="shared" si="16"/>
        <v>1</v>
      </c>
      <c r="S87" s="28">
        <f t="shared" si="23"/>
        <v>0.1429</v>
      </c>
      <c r="T87" s="28" t="s">
        <v>276</v>
      </c>
      <c r="U87" s="28">
        <v>1</v>
      </c>
      <c r="V87" s="28">
        <f t="shared" si="24"/>
        <v>0.1429</v>
      </c>
      <c r="W87" s="30">
        <f t="shared" si="25"/>
        <v>1.4286999999999999</v>
      </c>
      <c r="X87" s="31">
        <f t="shared" si="27"/>
        <v>1.4286999999999999</v>
      </c>
      <c r="Y87" s="31">
        <v>1</v>
      </c>
      <c r="Z87" s="32" t="str">
        <f t="shared" si="26"/>
        <v>Low</v>
      </c>
    </row>
    <row r="88" spans="2:26" x14ac:dyDescent="0.2">
      <c r="B88" s="28" t="s">
        <v>458</v>
      </c>
      <c r="C88" s="28" t="s">
        <v>459</v>
      </c>
      <c r="D88" s="28" t="s">
        <v>339</v>
      </c>
      <c r="E88" s="28" t="str">
        <f>+_xlfn.XLOOKUP(D88,[1]Regiones!$B$4:$B$31,[1]Regiones!$G$4:$G$31)</f>
        <v>Medium</v>
      </c>
      <c r="F88" s="29">
        <f t="shared" si="14"/>
        <v>2</v>
      </c>
      <c r="G88" s="28">
        <f t="shared" si="17"/>
        <v>0.42859999999999998</v>
      </c>
      <c r="H88" s="28" t="s">
        <v>275</v>
      </c>
      <c r="I88" s="28">
        <f t="shared" si="18"/>
        <v>1</v>
      </c>
      <c r="J88" s="28">
        <f t="shared" si="19"/>
        <v>0.21429999999999999</v>
      </c>
      <c r="K88" s="28" t="s">
        <v>275</v>
      </c>
      <c r="L88" s="28">
        <f t="shared" si="20"/>
        <v>1</v>
      </c>
      <c r="M88" s="28">
        <f t="shared" si="21"/>
        <v>0.21429999999999999</v>
      </c>
      <c r="N88" s="28" t="s">
        <v>275</v>
      </c>
      <c r="O88" s="28">
        <f t="shared" si="15"/>
        <v>1</v>
      </c>
      <c r="P88" s="28">
        <f t="shared" si="22"/>
        <v>7.1400000000000005E-2</v>
      </c>
      <c r="Q88" s="28" t="s">
        <v>275</v>
      </c>
      <c r="R88" s="28">
        <f t="shared" si="16"/>
        <v>1</v>
      </c>
      <c r="S88" s="28">
        <f t="shared" si="23"/>
        <v>0.1429</v>
      </c>
      <c r="T88" s="28" t="s">
        <v>276</v>
      </c>
      <c r="U88" s="28">
        <v>1</v>
      </c>
      <c r="V88" s="28">
        <f t="shared" si="24"/>
        <v>0.1429</v>
      </c>
      <c r="W88" s="30">
        <f t="shared" si="25"/>
        <v>1.2143999999999999</v>
      </c>
      <c r="X88" s="31">
        <f t="shared" si="27"/>
        <v>1.2143999999999999</v>
      </c>
      <c r="Y88" s="31">
        <v>1</v>
      </c>
      <c r="Z88" s="32" t="str">
        <f t="shared" si="26"/>
        <v>Low</v>
      </c>
    </row>
    <row r="89" spans="2:26" x14ac:dyDescent="0.2">
      <c r="B89" s="28" t="s">
        <v>460</v>
      </c>
      <c r="C89" s="28" t="s">
        <v>461</v>
      </c>
      <c r="D89" s="28" t="s">
        <v>274</v>
      </c>
      <c r="E89" s="28" t="str">
        <f>+_xlfn.XLOOKUP(D89,[1]Regiones!$B$4:$B$31,[1]Regiones!$G$4:$G$31)</f>
        <v>High</v>
      </c>
      <c r="F89" s="29">
        <f t="shared" si="14"/>
        <v>3</v>
      </c>
      <c r="G89" s="28">
        <f t="shared" si="17"/>
        <v>0.64290000000000003</v>
      </c>
      <c r="H89" s="28" t="s">
        <v>275</v>
      </c>
      <c r="I89" s="28">
        <f t="shared" si="18"/>
        <v>1</v>
      </c>
      <c r="J89" s="28">
        <f t="shared" si="19"/>
        <v>0.21429999999999999</v>
      </c>
      <c r="K89" s="28" t="s">
        <v>279</v>
      </c>
      <c r="L89" s="28">
        <f t="shared" si="20"/>
        <v>3</v>
      </c>
      <c r="M89" s="28">
        <f t="shared" si="21"/>
        <v>0.64290000000000003</v>
      </c>
      <c r="N89" s="28" t="s">
        <v>275</v>
      </c>
      <c r="O89" s="28">
        <f t="shared" si="15"/>
        <v>1</v>
      </c>
      <c r="P89" s="28">
        <f t="shared" si="22"/>
        <v>7.1400000000000005E-2</v>
      </c>
      <c r="Q89" s="28" t="s">
        <v>275</v>
      </c>
      <c r="R89" s="28">
        <f t="shared" si="16"/>
        <v>1</v>
      </c>
      <c r="S89" s="28">
        <f t="shared" si="23"/>
        <v>0.1429</v>
      </c>
      <c r="T89" s="28" t="s">
        <v>276</v>
      </c>
      <c r="U89" s="28">
        <v>1</v>
      </c>
      <c r="V89" s="28">
        <f t="shared" si="24"/>
        <v>0.1429</v>
      </c>
      <c r="W89" s="30">
        <f t="shared" si="25"/>
        <v>1.8573</v>
      </c>
      <c r="X89" s="31">
        <f t="shared" si="27"/>
        <v>1.8573</v>
      </c>
      <c r="Y89" s="31">
        <v>2</v>
      </c>
      <c r="Z89" s="32" t="str">
        <f t="shared" si="26"/>
        <v>Medium</v>
      </c>
    </row>
    <row r="90" spans="2:26" x14ac:dyDescent="0.2">
      <c r="B90" s="28" t="s">
        <v>462</v>
      </c>
      <c r="C90" s="28" t="s">
        <v>463</v>
      </c>
      <c r="D90" s="28" t="s">
        <v>274</v>
      </c>
      <c r="E90" s="28" t="str">
        <f>+_xlfn.XLOOKUP(D90,[1]Regiones!$B$4:$B$31,[1]Regiones!$G$4:$G$31)</f>
        <v>High</v>
      </c>
      <c r="F90" s="29">
        <f t="shared" si="14"/>
        <v>3</v>
      </c>
      <c r="G90" s="28">
        <f t="shared" si="17"/>
        <v>0.64290000000000003</v>
      </c>
      <c r="H90" s="28" t="s">
        <v>275</v>
      </c>
      <c r="I90" s="28">
        <f t="shared" si="18"/>
        <v>1</v>
      </c>
      <c r="J90" s="28">
        <f t="shared" si="19"/>
        <v>0.21429999999999999</v>
      </c>
      <c r="K90" s="28" t="s">
        <v>275</v>
      </c>
      <c r="L90" s="28">
        <f t="shared" si="20"/>
        <v>1</v>
      </c>
      <c r="M90" s="28">
        <f t="shared" si="21"/>
        <v>0.21429999999999999</v>
      </c>
      <c r="N90" s="28" t="s">
        <v>275</v>
      </c>
      <c r="O90" s="28">
        <f t="shared" si="15"/>
        <v>1</v>
      </c>
      <c r="P90" s="28">
        <f t="shared" si="22"/>
        <v>7.1400000000000005E-2</v>
      </c>
      <c r="Q90" s="28" t="s">
        <v>275</v>
      </c>
      <c r="R90" s="28">
        <f t="shared" si="16"/>
        <v>1</v>
      </c>
      <c r="S90" s="28">
        <f t="shared" si="23"/>
        <v>0.1429</v>
      </c>
      <c r="T90" s="28" t="s">
        <v>276</v>
      </c>
      <c r="U90" s="28">
        <v>1</v>
      </c>
      <c r="V90" s="28">
        <f t="shared" si="24"/>
        <v>0.1429</v>
      </c>
      <c r="W90" s="30">
        <f t="shared" si="25"/>
        <v>1.4286999999999999</v>
      </c>
      <c r="X90" s="31">
        <f t="shared" si="27"/>
        <v>1.4286999999999999</v>
      </c>
      <c r="Y90" s="31">
        <v>1</v>
      </c>
      <c r="Z90" s="32" t="str">
        <f t="shared" si="26"/>
        <v>Low</v>
      </c>
    </row>
    <row r="91" spans="2:26" x14ac:dyDescent="0.2">
      <c r="B91" s="28" t="s">
        <v>464</v>
      </c>
      <c r="C91" s="28" t="s">
        <v>465</v>
      </c>
      <c r="D91" s="28" t="s">
        <v>274</v>
      </c>
      <c r="E91" s="28" t="str">
        <f>+_xlfn.XLOOKUP(D91,[1]Regiones!$B$4:$B$31,[1]Regiones!$G$4:$G$31)</f>
        <v>High</v>
      </c>
      <c r="F91" s="29">
        <f t="shared" si="14"/>
        <v>3</v>
      </c>
      <c r="G91" s="28">
        <f t="shared" si="17"/>
        <v>0.64290000000000003</v>
      </c>
      <c r="H91" s="28" t="s">
        <v>275</v>
      </c>
      <c r="I91" s="28">
        <f t="shared" si="18"/>
        <v>1</v>
      </c>
      <c r="J91" s="28">
        <f t="shared" si="19"/>
        <v>0.21429999999999999</v>
      </c>
      <c r="K91" s="28" t="s">
        <v>275</v>
      </c>
      <c r="L91" s="28">
        <f t="shared" si="20"/>
        <v>1</v>
      </c>
      <c r="M91" s="28">
        <f t="shared" si="21"/>
        <v>0.21429999999999999</v>
      </c>
      <c r="N91" s="28" t="s">
        <v>275</v>
      </c>
      <c r="O91" s="28">
        <f t="shared" si="15"/>
        <v>1</v>
      </c>
      <c r="P91" s="28">
        <f t="shared" si="22"/>
        <v>7.1400000000000005E-2</v>
      </c>
      <c r="Q91" s="28" t="s">
        <v>275</v>
      </c>
      <c r="R91" s="28">
        <f t="shared" si="16"/>
        <v>1</v>
      </c>
      <c r="S91" s="28">
        <f t="shared" si="23"/>
        <v>0.1429</v>
      </c>
      <c r="T91" s="28" t="s">
        <v>276</v>
      </c>
      <c r="U91" s="28">
        <v>1</v>
      </c>
      <c r="V91" s="28">
        <f t="shared" si="24"/>
        <v>0.1429</v>
      </c>
      <c r="W91" s="30">
        <f t="shared" si="25"/>
        <v>1.4286999999999999</v>
      </c>
      <c r="X91" s="31">
        <f t="shared" si="27"/>
        <v>1.4286999999999999</v>
      </c>
      <c r="Y91" s="31">
        <v>1</v>
      </c>
      <c r="Z91" s="32" t="str">
        <f t="shared" si="26"/>
        <v>Low</v>
      </c>
    </row>
    <row r="92" spans="2:26" x14ac:dyDescent="0.2">
      <c r="B92" s="28" t="s">
        <v>466</v>
      </c>
      <c r="C92" s="28" t="s">
        <v>467</v>
      </c>
      <c r="D92" s="28" t="s">
        <v>274</v>
      </c>
      <c r="E92" s="28" t="str">
        <f>+_xlfn.XLOOKUP(D92,[1]Regiones!$B$4:$B$31,[1]Regiones!$G$4:$G$31)</f>
        <v>High</v>
      </c>
      <c r="F92" s="29">
        <f t="shared" si="14"/>
        <v>3</v>
      </c>
      <c r="G92" s="28">
        <f t="shared" si="17"/>
        <v>0.64290000000000003</v>
      </c>
      <c r="H92" s="28" t="s">
        <v>275</v>
      </c>
      <c r="I92" s="28">
        <f t="shared" si="18"/>
        <v>1</v>
      </c>
      <c r="J92" s="28">
        <f t="shared" si="19"/>
        <v>0.21429999999999999</v>
      </c>
      <c r="K92" s="28" t="s">
        <v>275</v>
      </c>
      <c r="L92" s="28">
        <f t="shared" si="20"/>
        <v>1</v>
      </c>
      <c r="M92" s="28">
        <f t="shared" si="21"/>
        <v>0.21429999999999999</v>
      </c>
      <c r="N92" s="28" t="s">
        <v>279</v>
      </c>
      <c r="O92" s="28">
        <f t="shared" si="15"/>
        <v>3</v>
      </c>
      <c r="P92" s="28">
        <f t="shared" si="22"/>
        <v>0.2142</v>
      </c>
      <c r="Q92" s="28" t="s">
        <v>279</v>
      </c>
      <c r="R92" s="28">
        <f t="shared" si="16"/>
        <v>3</v>
      </c>
      <c r="S92" s="28">
        <f t="shared" si="23"/>
        <v>0.42869999999999997</v>
      </c>
      <c r="T92" s="28" t="s">
        <v>313</v>
      </c>
      <c r="U92" s="28">
        <v>3</v>
      </c>
      <c r="V92" s="28">
        <f t="shared" si="24"/>
        <v>0.42869999999999997</v>
      </c>
      <c r="W92" s="30">
        <f t="shared" si="25"/>
        <v>2.1431</v>
      </c>
      <c r="X92" s="31">
        <f t="shared" si="27"/>
        <v>2.1431</v>
      </c>
      <c r="Y92" s="31">
        <v>2</v>
      </c>
      <c r="Z92" s="32" t="str">
        <f t="shared" si="26"/>
        <v>Medium</v>
      </c>
    </row>
    <row r="93" spans="2:26" x14ac:dyDescent="0.2">
      <c r="B93" s="28" t="s">
        <v>468</v>
      </c>
      <c r="C93" s="28" t="s">
        <v>469</v>
      </c>
      <c r="D93" s="28" t="s">
        <v>312</v>
      </c>
      <c r="E93" s="28" t="str">
        <f>+_xlfn.XLOOKUP(D93,[1]Regiones!$B$4:$B$31,[1]Regiones!$G$4:$G$31)</f>
        <v>High</v>
      </c>
      <c r="F93" s="29">
        <f t="shared" si="14"/>
        <v>3</v>
      </c>
      <c r="G93" s="28">
        <f t="shared" si="17"/>
        <v>0.64290000000000003</v>
      </c>
      <c r="H93" s="28" t="s">
        <v>275</v>
      </c>
      <c r="I93" s="28">
        <f t="shared" si="18"/>
        <v>1</v>
      </c>
      <c r="J93" s="28">
        <f t="shared" si="19"/>
        <v>0.21429999999999999</v>
      </c>
      <c r="K93" s="28" t="s">
        <v>275</v>
      </c>
      <c r="L93" s="28">
        <f t="shared" si="20"/>
        <v>1</v>
      </c>
      <c r="M93" s="28">
        <f t="shared" si="21"/>
        <v>0.21429999999999999</v>
      </c>
      <c r="N93" s="28" t="s">
        <v>275</v>
      </c>
      <c r="O93" s="28">
        <f t="shared" si="15"/>
        <v>1</v>
      </c>
      <c r="P93" s="28">
        <f t="shared" si="22"/>
        <v>7.1400000000000005E-2</v>
      </c>
      <c r="Q93" s="28" t="s">
        <v>275</v>
      </c>
      <c r="R93" s="28">
        <f t="shared" si="16"/>
        <v>1</v>
      </c>
      <c r="S93" s="28">
        <f t="shared" si="23"/>
        <v>0.1429</v>
      </c>
      <c r="T93" s="28" t="s">
        <v>276</v>
      </c>
      <c r="U93" s="28">
        <v>1</v>
      </c>
      <c r="V93" s="28">
        <f t="shared" si="24"/>
        <v>0.1429</v>
      </c>
      <c r="W93" s="30">
        <f t="shared" si="25"/>
        <v>1.4286999999999999</v>
      </c>
      <c r="X93" s="31">
        <f t="shared" si="27"/>
        <v>1.4286999999999999</v>
      </c>
      <c r="Y93" s="31">
        <v>1</v>
      </c>
      <c r="Z93" s="32" t="str">
        <f t="shared" si="26"/>
        <v>Low</v>
      </c>
    </row>
    <row r="94" spans="2:26" x14ac:dyDescent="0.2">
      <c r="B94" s="28" t="s">
        <v>470</v>
      </c>
      <c r="C94" s="28" t="s">
        <v>471</v>
      </c>
      <c r="D94" s="28" t="s">
        <v>390</v>
      </c>
      <c r="E94" s="28" t="str">
        <f>+_xlfn.XLOOKUP(D94,[1]Regiones!$B$4:$B$31,[1]Regiones!$G$4:$G$31)</f>
        <v>Low</v>
      </c>
      <c r="F94" s="29">
        <f t="shared" si="14"/>
        <v>1</v>
      </c>
      <c r="G94" s="28">
        <f t="shared" si="17"/>
        <v>0.21429999999999999</v>
      </c>
      <c r="H94" s="28" t="s">
        <v>275</v>
      </c>
      <c r="I94" s="28">
        <f t="shared" si="18"/>
        <v>1</v>
      </c>
      <c r="J94" s="28">
        <f t="shared" si="19"/>
        <v>0.21429999999999999</v>
      </c>
      <c r="K94" s="28" t="s">
        <v>275</v>
      </c>
      <c r="L94" s="28">
        <f t="shared" si="20"/>
        <v>1</v>
      </c>
      <c r="M94" s="28">
        <f t="shared" si="21"/>
        <v>0.21429999999999999</v>
      </c>
      <c r="N94" s="28" t="s">
        <v>275</v>
      </c>
      <c r="O94" s="28">
        <f t="shared" si="15"/>
        <v>1</v>
      </c>
      <c r="P94" s="28">
        <f t="shared" si="22"/>
        <v>7.1400000000000005E-2</v>
      </c>
      <c r="Q94" s="28" t="s">
        <v>275</v>
      </c>
      <c r="R94" s="28">
        <f t="shared" si="16"/>
        <v>1</v>
      </c>
      <c r="S94" s="28">
        <f t="shared" si="23"/>
        <v>0.1429</v>
      </c>
      <c r="T94" s="28" t="s">
        <v>276</v>
      </c>
      <c r="U94" s="28">
        <v>1</v>
      </c>
      <c r="V94" s="28">
        <f t="shared" si="24"/>
        <v>0.1429</v>
      </c>
      <c r="W94" s="30">
        <f t="shared" si="25"/>
        <v>1.0001</v>
      </c>
      <c r="X94" s="31">
        <f t="shared" si="27"/>
        <v>1.0001</v>
      </c>
      <c r="Y94" s="31">
        <v>1</v>
      </c>
      <c r="Z94" s="32" t="str">
        <f t="shared" si="26"/>
        <v>Low</v>
      </c>
    </row>
    <row r="95" spans="2:26" x14ac:dyDescent="0.2">
      <c r="B95" s="28" t="s">
        <v>472</v>
      </c>
      <c r="C95" s="28" t="s">
        <v>473</v>
      </c>
      <c r="D95" s="28" t="s">
        <v>274</v>
      </c>
      <c r="E95" s="28" t="str">
        <f>+_xlfn.XLOOKUP(D95,[1]Regiones!$B$4:$B$31,[1]Regiones!$G$4:$G$31)</f>
        <v>High</v>
      </c>
      <c r="F95" s="29">
        <f t="shared" si="14"/>
        <v>3</v>
      </c>
      <c r="G95" s="28">
        <f t="shared" si="17"/>
        <v>0.64290000000000003</v>
      </c>
      <c r="H95" s="28" t="s">
        <v>275</v>
      </c>
      <c r="I95" s="28">
        <f t="shared" si="18"/>
        <v>1</v>
      </c>
      <c r="J95" s="28">
        <f t="shared" si="19"/>
        <v>0.21429999999999999</v>
      </c>
      <c r="K95" s="28" t="s">
        <v>275</v>
      </c>
      <c r="L95" s="28">
        <f t="shared" si="20"/>
        <v>1</v>
      </c>
      <c r="M95" s="28">
        <f t="shared" si="21"/>
        <v>0.21429999999999999</v>
      </c>
      <c r="N95" s="28" t="s">
        <v>275</v>
      </c>
      <c r="O95" s="28">
        <f t="shared" si="15"/>
        <v>1</v>
      </c>
      <c r="P95" s="28">
        <f t="shared" si="22"/>
        <v>7.1400000000000005E-2</v>
      </c>
      <c r="Q95" s="28" t="s">
        <v>275</v>
      </c>
      <c r="R95" s="28">
        <f t="shared" si="16"/>
        <v>1</v>
      </c>
      <c r="S95" s="28">
        <f t="shared" si="23"/>
        <v>0.1429</v>
      </c>
      <c r="T95" s="28" t="s">
        <v>276</v>
      </c>
      <c r="U95" s="28">
        <v>1</v>
      </c>
      <c r="V95" s="28">
        <f t="shared" si="24"/>
        <v>0.1429</v>
      </c>
      <c r="W95" s="30">
        <f t="shared" si="25"/>
        <v>1.4286999999999999</v>
      </c>
      <c r="X95" s="31">
        <f t="shared" si="27"/>
        <v>1.4286999999999999</v>
      </c>
      <c r="Y95" s="31">
        <v>1</v>
      </c>
      <c r="Z95" s="32" t="str">
        <f t="shared" si="26"/>
        <v>Low</v>
      </c>
    </row>
    <row r="96" spans="2:26" x14ac:dyDescent="0.2">
      <c r="B96" s="28" t="s">
        <v>474</v>
      </c>
      <c r="C96" s="28" t="s">
        <v>475</v>
      </c>
      <c r="D96" s="28" t="s">
        <v>293</v>
      </c>
      <c r="E96" s="28" t="str">
        <f>+_xlfn.XLOOKUP(D96,[1]Regiones!$B$4:$B$31,[1]Regiones!$G$4:$G$31)</f>
        <v>High</v>
      </c>
      <c r="F96" s="29">
        <f t="shared" si="14"/>
        <v>3</v>
      </c>
      <c r="G96" s="28">
        <f t="shared" si="17"/>
        <v>0.64290000000000003</v>
      </c>
      <c r="H96" s="28" t="s">
        <v>275</v>
      </c>
      <c r="I96" s="28">
        <f t="shared" si="18"/>
        <v>1</v>
      </c>
      <c r="J96" s="28">
        <f t="shared" si="19"/>
        <v>0.21429999999999999</v>
      </c>
      <c r="K96" s="28" t="s">
        <v>275</v>
      </c>
      <c r="L96" s="28">
        <f t="shared" si="20"/>
        <v>1</v>
      </c>
      <c r="M96" s="28">
        <f t="shared" si="21"/>
        <v>0.21429999999999999</v>
      </c>
      <c r="N96" s="28" t="s">
        <v>279</v>
      </c>
      <c r="O96" s="28">
        <f t="shared" si="15"/>
        <v>3</v>
      </c>
      <c r="P96" s="28">
        <f t="shared" si="22"/>
        <v>0.2142</v>
      </c>
      <c r="Q96" s="28" t="s">
        <v>279</v>
      </c>
      <c r="R96" s="28">
        <f t="shared" si="16"/>
        <v>3</v>
      </c>
      <c r="S96" s="28">
        <f t="shared" si="23"/>
        <v>0.42869999999999997</v>
      </c>
      <c r="T96" s="28" t="s">
        <v>313</v>
      </c>
      <c r="U96" s="28">
        <v>3</v>
      </c>
      <c r="V96" s="28">
        <f t="shared" si="24"/>
        <v>0.42869999999999997</v>
      </c>
      <c r="W96" s="30">
        <f t="shared" si="25"/>
        <v>2.1431</v>
      </c>
      <c r="X96" s="31">
        <f t="shared" si="27"/>
        <v>2.1431</v>
      </c>
      <c r="Y96" s="31">
        <v>2</v>
      </c>
      <c r="Z96" s="32" t="str">
        <f t="shared" si="26"/>
        <v>Medium</v>
      </c>
    </row>
    <row r="97" spans="2:26" x14ac:dyDescent="0.2">
      <c r="B97" s="28" t="s">
        <v>476</v>
      </c>
      <c r="C97" s="28" t="s">
        <v>477</v>
      </c>
      <c r="D97" s="28" t="s">
        <v>293</v>
      </c>
      <c r="E97" s="28" t="str">
        <f>+_xlfn.XLOOKUP(D97,[1]Regiones!$B$4:$B$31,[1]Regiones!$G$4:$G$31)</f>
        <v>High</v>
      </c>
      <c r="F97" s="29">
        <f t="shared" si="14"/>
        <v>3</v>
      </c>
      <c r="G97" s="28">
        <f t="shared" si="17"/>
        <v>0.64290000000000003</v>
      </c>
      <c r="H97" s="28" t="s">
        <v>275</v>
      </c>
      <c r="I97" s="28">
        <f t="shared" si="18"/>
        <v>1</v>
      </c>
      <c r="J97" s="28">
        <f t="shared" si="19"/>
        <v>0.21429999999999999</v>
      </c>
      <c r="K97" s="28" t="s">
        <v>275</v>
      </c>
      <c r="L97" s="28">
        <f t="shared" si="20"/>
        <v>1</v>
      </c>
      <c r="M97" s="28">
        <f t="shared" si="21"/>
        <v>0.21429999999999999</v>
      </c>
      <c r="N97" s="28" t="s">
        <v>275</v>
      </c>
      <c r="O97" s="28">
        <f t="shared" si="15"/>
        <v>1</v>
      </c>
      <c r="P97" s="28">
        <f t="shared" si="22"/>
        <v>7.1400000000000005E-2</v>
      </c>
      <c r="Q97" s="28" t="s">
        <v>275</v>
      </c>
      <c r="R97" s="28">
        <f t="shared" si="16"/>
        <v>1</v>
      </c>
      <c r="S97" s="28">
        <f t="shared" si="23"/>
        <v>0.1429</v>
      </c>
      <c r="T97" s="28" t="s">
        <v>276</v>
      </c>
      <c r="U97" s="28">
        <v>1</v>
      </c>
      <c r="V97" s="28">
        <f t="shared" si="24"/>
        <v>0.1429</v>
      </c>
      <c r="W97" s="30">
        <f t="shared" si="25"/>
        <v>1.4286999999999999</v>
      </c>
      <c r="X97" s="31">
        <f t="shared" si="27"/>
        <v>1.4286999999999999</v>
      </c>
      <c r="Y97" s="31">
        <v>1</v>
      </c>
      <c r="Z97" s="32" t="str">
        <f t="shared" si="26"/>
        <v>Low</v>
      </c>
    </row>
    <row r="98" spans="2:26" x14ac:dyDescent="0.2">
      <c r="B98" s="28" t="s">
        <v>478</v>
      </c>
      <c r="C98" s="28" t="s">
        <v>479</v>
      </c>
      <c r="D98" s="28" t="s">
        <v>274</v>
      </c>
      <c r="E98" s="28" t="str">
        <f>+_xlfn.XLOOKUP(D98,[1]Regiones!$B$4:$B$31,[1]Regiones!$G$4:$G$31)</f>
        <v>High</v>
      </c>
      <c r="F98" s="29">
        <f t="shared" si="14"/>
        <v>3</v>
      </c>
      <c r="G98" s="28">
        <f t="shared" si="17"/>
        <v>0.64290000000000003</v>
      </c>
      <c r="H98" s="28" t="s">
        <v>275</v>
      </c>
      <c r="I98" s="28">
        <f t="shared" si="18"/>
        <v>1</v>
      </c>
      <c r="J98" s="28">
        <f t="shared" si="19"/>
        <v>0.21429999999999999</v>
      </c>
      <c r="K98" s="28" t="s">
        <v>275</v>
      </c>
      <c r="L98" s="28">
        <f t="shared" si="20"/>
        <v>1</v>
      </c>
      <c r="M98" s="28">
        <f t="shared" si="21"/>
        <v>0.21429999999999999</v>
      </c>
      <c r="N98" s="28" t="s">
        <v>279</v>
      </c>
      <c r="O98" s="28">
        <f t="shared" si="15"/>
        <v>3</v>
      </c>
      <c r="P98" s="28">
        <f t="shared" si="22"/>
        <v>0.2142</v>
      </c>
      <c r="Q98" s="28" t="s">
        <v>279</v>
      </c>
      <c r="R98" s="28">
        <f t="shared" si="16"/>
        <v>3</v>
      </c>
      <c r="S98" s="28">
        <f t="shared" si="23"/>
        <v>0.42869999999999997</v>
      </c>
      <c r="T98" s="28" t="s">
        <v>276</v>
      </c>
      <c r="U98" s="28">
        <v>1</v>
      </c>
      <c r="V98" s="28">
        <f t="shared" si="24"/>
        <v>0.1429</v>
      </c>
      <c r="W98" s="30">
        <f t="shared" si="25"/>
        <v>1.8573</v>
      </c>
      <c r="X98" s="31">
        <f t="shared" si="27"/>
        <v>1.8573</v>
      </c>
      <c r="Y98" s="31">
        <v>2</v>
      </c>
      <c r="Z98" s="32" t="str">
        <f t="shared" si="26"/>
        <v>Medium</v>
      </c>
    </row>
    <row r="99" spans="2:26" x14ac:dyDescent="0.2">
      <c r="B99" s="28" t="s">
        <v>480</v>
      </c>
      <c r="C99" s="28" t="s">
        <v>481</v>
      </c>
      <c r="D99" s="28" t="s">
        <v>363</v>
      </c>
      <c r="E99" s="28" t="str">
        <f>+_xlfn.XLOOKUP(D99,[1]Regiones!$B$4:$B$31,[1]Regiones!$G$4:$G$31)</f>
        <v>Low</v>
      </c>
      <c r="F99" s="29">
        <f t="shared" si="14"/>
        <v>1</v>
      </c>
      <c r="G99" s="28">
        <f t="shared" si="17"/>
        <v>0.21429999999999999</v>
      </c>
      <c r="H99" s="28" t="s">
        <v>275</v>
      </c>
      <c r="I99" s="28">
        <f t="shared" si="18"/>
        <v>1</v>
      </c>
      <c r="J99" s="28">
        <f t="shared" si="19"/>
        <v>0.21429999999999999</v>
      </c>
      <c r="K99" s="28" t="s">
        <v>275</v>
      </c>
      <c r="L99" s="28">
        <f t="shared" si="20"/>
        <v>1</v>
      </c>
      <c r="M99" s="28">
        <f t="shared" si="21"/>
        <v>0.21429999999999999</v>
      </c>
      <c r="N99" s="28" t="s">
        <v>275</v>
      </c>
      <c r="O99" s="28">
        <f t="shared" si="15"/>
        <v>1</v>
      </c>
      <c r="P99" s="28">
        <f t="shared" si="22"/>
        <v>7.1400000000000005E-2</v>
      </c>
      <c r="Q99" s="28" t="s">
        <v>275</v>
      </c>
      <c r="R99" s="28">
        <f t="shared" si="16"/>
        <v>1</v>
      </c>
      <c r="S99" s="28">
        <f t="shared" si="23"/>
        <v>0.1429</v>
      </c>
      <c r="T99" s="28" t="s">
        <v>276</v>
      </c>
      <c r="U99" s="28">
        <v>1</v>
      </c>
      <c r="V99" s="28">
        <f t="shared" si="24"/>
        <v>0.1429</v>
      </c>
      <c r="W99" s="30">
        <f t="shared" si="25"/>
        <v>1.0001</v>
      </c>
      <c r="X99" s="31">
        <f t="shared" si="27"/>
        <v>1.0001</v>
      </c>
      <c r="Y99" s="31">
        <v>1</v>
      </c>
      <c r="Z99" s="32" t="str">
        <f t="shared" si="26"/>
        <v>Low</v>
      </c>
    </row>
    <row r="100" spans="2:26" x14ac:dyDescent="0.2">
      <c r="B100" s="28" t="s">
        <v>482</v>
      </c>
      <c r="C100" s="28" t="s">
        <v>483</v>
      </c>
      <c r="D100" s="28" t="s">
        <v>339</v>
      </c>
      <c r="E100" s="28" t="str">
        <f>+_xlfn.XLOOKUP(D100,[1]Regiones!$B$4:$B$31,[1]Regiones!$G$4:$G$31)</f>
        <v>Medium</v>
      </c>
      <c r="F100" s="29">
        <f t="shared" si="14"/>
        <v>2</v>
      </c>
      <c r="G100" s="28">
        <f t="shared" si="17"/>
        <v>0.42859999999999998</v>
      </c>
      <c r="H100" s="28" t="s">
        <v>275</v>
      </c>
      <c r="I100" s="28">
        <f t="shared" si="18"/>
        <v>1</v>
      </c>
      <c r="J100" s="28">
        <f t="shared" si="19"/>
        <v>0.21429999999999999</v>
      </c>
      <c r="K100" s="28" t="s">
        <v>279</v>
      </c>
      <c r="L100" s="28">
        <f t="shared" si="20"/>
        <v>3</v>
      </c>
      <c r="M100" s="28">
        <f t="shared" si="21"/>
        <v>0.64290000000000003</v>
      </c>
      <c r="N100" s="28" t="s">
        <v>275</v>
      </c>
      <c r="O100" s="28">
        <f t="shared" si="15"/>
        <v>1</v>
      </c>
      <c r="P100" s="28">
        <f t="shared" si="22"/>
        <v>7.1400000000000005E-2</v>
      </c>
      <c r="Q100" s="28" t="s">
        <v>275</v>
      </c>
      <c r="R100" s="28">
        <f t="shared" si="16"/>
        <v>1</v>
      </c>
      <c r="S100" s="28">
        <f t="shared" si="23"/>
        <v>0.1429</v>
      </c>
      <c r="T100" s="28" t="s">
        <v>276</v>
      </c>
      <c r="U100" s="28">
        <v>1</v>
      </c>
      <c r="V100" s="28">
        <f t="shared" si="24"/>
        <v>0.1429</v>
      </c>
      <c r="W100" s="30">
        <f t="shared" si="25"/>
        <v>1.643</v>
      </c>
      <c r="X100" s="31">
        <f t="shared" si="27"/>
        <v>1.643</v>
      </c>
      <c r="Y100" s="31">
        <v>2</v>
      </c>
      <c r="Z100" s="32" t="str">
        <f t="shared" si="26"/>
        <v>Medium</v>
      </c>
    </row>
    <row r="101" spans="2:26" x14ac:dyDescent="0.2">
      <c r="B101" s="28" t="s">
        <v>484</v>
      </c>
      <c r="C101" s="28" t="s">
        <v>485</v>
      </c>
      <c r="D101" s="28" t="s">
        <v>274</v>
      </c>
      <c r="E101" s="28" t="str">
        <f>+_xlfn.XLOOKUP(D101,[1]Regiones!$B$4:$B$31,[1]Regiones!$G$4:$G$31)</f>
        <v>High</v>
      </c>
      <c r="F101" s="29">
        <f t="shared" si="14"/>
        <v>3</v>
      </c>
      <c r="G101" s="28">
        <f t="shared" si="17"/>
        <v>0.64290000000000003</v>
      </c>
      <c r="H101" s="28" t="s">
        <v>275</v>
      </c>
      <c r="I101" s="28">
        <f t="shared" si="18"/>
        <v>1</v>
      </c>
      <c r="J101" s="28">
        <f t="shared" si="19"/>
        <v>0.21429999999999999</v>
      </c>
      <c r="K101" s="28" t="s">
        <v>275</v>
      </c>
      <c r="L101" s="28">
        <f t="shared" si="20"/>
        <v>1</v>
      </c>
      <c r="M101" s="28">
        <f t="shared" si="21"/>
        <v>0.21429999999999999</v>
      </c>
      <c r="N101" s="28" t="s">
        <v>275</v>
      </c>
      <c r="O101" s="28">
        <f t="shared" si="15"/>
        <v>1</v>
      </c>
      <c r="P101" s="28">
        <f t="shared" si="22"/>
        <v>7.1400000000000005E-2</v>
      </c>
      <c r="Q101" s="28" t="s">
        <v>275</v>
      </c>
      <c r="R101" s="28">
        <f t="shared" si="16"/>
        <v>1</v>
      </c>
      <c r="S101" s="28">
        <f t="shared" si="23"/>
        <v>0.1429</v>
      </c>
      <c r="T101" s="28" t="s">
        <v>276</v>
      </c>
      <c r="U101" s="28">
        <v>1</v>
      </c>
      <c r="V101" s="28">
        <f t="shared" si="24"/>
        <v>0.1429</v>
      </c>
      <c r="W101" s="30">
        <f t="shared" si="25"/>
        <v>1.4286999999999999</v>
      </c>
      <c r="X101" s="31">
        <f t="shared" si="27"/>
        <v>1.4286999999999999</v>
      </c>
      <c r="Y101" s="31">
        <v>1</v>
      </c>
      <c r="Z101" s="32" t="str">
        <f t="shared" si="26"/>
        <v>Low</v>
      </c>
    </row>
    <row r="102" spans="2:26" x14ac:dyDescent="0.2">
      <c r="B102" s="28" t="s">
        <v>486</v>
      </c>
      <c r="C102" s="28" t="s">
        <v>487</v>
      </c>
      <c r="D102" s="28" t="s">
        <v>274</v>
      </c>
      <c r="E102" s="28" t="str">
        <f>+_xlfn.XLOOKUP(D102,[1]Regiones!$B$4:$B$31,[1]Regiones!$G$4:$G$31)</f>
        <v>High</v>
      </c>
      <c r="F102" s="29">
        <f t="shared" si="14"/>
        <v>3</v>
      </c>
      <c r="G102" s="28">
        <f t="shared" si="17"/>
        <v>0.64290000000000003</v>
      </c>
      <c r="H102" s="28" t="s">
        <v>275</v>
      </c>
      <c r="I102" s="28">
        <f t="shared" si="18"/>
        <v>1</v>
      </c>
      <c r="J102" s="28">
        <f t="shared" si="19"/>
        <v>0.21429999999999999</v>
      </c>
      <c r="K102" s="28" t="s">
        <v>275</v>
      </c>
      <c r="L102" s="28">
        <f t="shared" si="20"/>
        <v>1</v>
      </c>
      <c r="M102" s="28">
        <f t="shared" si="21"/>
        <v>0.21429999999999999</v>
      </c>
      <c r="N102" s="28" t="s">
        <v>275</v>
      </c>
      <c r="O102" s="28">
        <f t="shared" si="15"/>
        <v>1</v>
      </c>
      <c r="P102" s="28">
        <f t="shared" si="22"/>
        <v>7.1400000000000005E-2</v>
      </c>
      <c r="Q102" s="28" t="s">
        <v>275</v>
      </c>
      <c r="R102" s="28">
        <f t="shared" si="16"/>
        <v>1</v>
      </c>
      <c r="S102" s="28">
        <f t="shared" si="23"/>
        <v>0.1429</v>
      </c>
      <c r="T102" s="28" t="s">
        <v>276</v>
      </c>
      <c r="U102" s="28">
        <v>1</v>
      </c>
      <c r="V102" s="28">
        <f t="shared" si="24"/>
        <v>0.1429</v>
      </c>
      <c r="W102" s="30">
        <f t="shared" si="25"/>
        <v>1.4286999999999999</v>
      </c>
      <c r="X102" s="31">
        <f t="shared" si="27"/>
        <v>1.4286999999999999</v>
      </c>
      <c r="Y102" s="31">
        <v>1</v>
      </c>
      <c r="Z102" s="32" t="str">
        <f t="shared" si="26"/>
        <v>Low</v>
      </c>
    </row>
    <row r="103" spans="2:26" x14ac:dyDescent="0.2">
      <c r="B103" s="28" t="s">
        <v>488</v>
      </c>
      <c r="C103" s="28" t="s">
        <v>489</v>
      </c>
      <c r="D103" s="28" t="s">
        <v>274</v>
      </c>
      <c r="E103" s="28" t="str">
        <f>+_xlfn.XLOOKUP(D103,[1]Regiones!$B$4:$B$31,[1]Regiones!$G$4:$G$31)</f>
        <v>High</v>
      </c>
      <c r="F103" s="29">
        <f t="shared" si="14"/>
        <v>3</v>
      </c>
      <c r="G103" s="28">
        <f t="shared" si="17"/>
        <v>0.64290000000000003</v>
      </c>
      <c r="H103" s="28" t="s">
        <v>275</v>
      </c>
      <c r="I103" s="28">
        <f t="shared" si="18"/>
        <v>1</v>
      </c>
      <c r="J103" s="28">
        <f t="shared" si="19"/>
        <v>0.21429999999999999</v>
      </c>
      <c r="K103" s="28" t="s">
        <v>279</v>
      </c>
      <c r="L103" s="28">
        <f t="shared" si="20"/>
        <v>3</v>
      </c>
      <c r="M103" s="28">
        <f t="shared" si="21"/>
        <v>0.64290000000000003</v>
      </c>
      <c r="N103" s="28" t="s">
        <v>275</v>
      </c>
      <c r="O103" s="28">
        <f t="shared" si="15"/>
        <v>1</v>
      </c>
      <c r="P103" s="28">
        <f t="shared" si="22"/>
        <v>7.1400000000000005E-2</v>
      </c>
      <c r="Q103" s="28" t="s">
        <v>275</v>
      </c>
      <c r="R103" s="28">
        <f t="shared" si="16"/>
        <v>1</v>
      </c>
      <c r="S103" s="28">
        <f t="shared" si="23"/>
        <v>0.1429</v>
      </c>
      <c r="T103" s="28" t="s">
        <v>276</v>
      </c>
      <c r="U103" s="28">
        <v>1</v>
      </c>
      <c r="V103" s="28">
        <f t="shared" si="24"/>
        <v>0.1429</v>
      </c>
      <c r="W103" s="30">
        <f t="shared" si="25"/>
        <v>1.8573</v>
      </c>
      <c r="X103" s="31">
        <f t="shared" si="27"/>
        <v>1.8573</v>
      </c>
      <c r="Y103" s="31">
        <v>2</v>
      </c>
      <c r="Z103" s="32" t="str">
        <f t="shared" si="26"/>
        <v>Medium</v>
      </c>
    </row>
    <row r="104" spans="2:26" x14ac:dyDescent="0.2">
      <c r="B104" s="28" t="s">
        <v>490</v>
      </c>
      <c r="C104" s="28" t="s">
        <v>491</v>
      </c>
      <c r="D104" s="28" t="s">
        <v>316</v>
      </c>
      <c r="E104" s="28" t="str">
        <f>+_xlfn.XLOOKUP(D104,[1]Regiones!$B$4:$B$31,[1]Regiones!$G$4:$G$31)</f>
        <v>High</v>
      </c>
      <c r="F104" s="29">
        <f t="shared" si="14"/>
        <v>3</v>
      </c>
      <c r="G104" s="28">
        <f t="shared" si="17"/>
        <v>0.64290000000000003</v>
      </c>
      <c r="H104" s="28" t="s">
        <v>275</v>
      </c>
      <c r="I104" s="28">
        <f t="shared" si="18"/>
        <v>1</v>
      </c>
      <c r="J104" s="28">
        <f t="shared" si="19"/>
        <v>0.21429999999999999</v>
      </c>
      <c r="K104" s="28" t="s">
        <v>275</v>
      </c>
      <c r="L104" s="28">
        <f t="shared" si="20"/>
        <v>1</v>
      </c>
      <c r="M104" s="28">
        <f t="shared" si="21"/>
        <v>0.21429999999999999</v>
      </c>
      <c r="N104" s="28" t="s">
        <v>275</v>
      </c>
      <c r="O104" s="28">
        <f t="shared" si="15"/>
        <v>1</v>
      </c>
      <c r="P104" s="28">
        <f t="shared" si="22"/>
        <v>7.1400000000000005E-2</v>
      </c>
      <c r="Q104" s="28" t="s">
        <v>275</v>
      </c>
      <c r="R104" s="28">
        <f t="shared" si="16"/>
        <v>1</v>
      </c>
      <c r="S104" s="28">
        <f t="shared" si="23"/>
        <v>0.1429</v>
      </c>
      <c r="T104" s="28" t="s">
        <v>276</v>
      </c>
      <c r="U104" s="28">
        <v>1</v>
      </c>
      <c r="V104" s="28">
        <f t="shared" si="24"/>
        <v>0.1429</v>
      </c>
      <c r="W104" s="30">
        <f t="shared" si="25"/>
        <v>1.4286999999999999</v>
      </c>
      <c r="X104" s="31">
        <f t="shared" si="27"/>
        <v>1.4286999999999999</v>
      </c>
      <c r="Y104" s="31">
        <v>1</v>
      </c>
      <c r="Z104" s="32" t="str">
        <f t="shared" si="26"/>
        <v>Low</v>
      </c>
    </row>
    <row r="105" spans="2:26" x14ac:dyDescent="0.2">
      <c r="B105" s="28" t="s">
        <v>492</v>
      </c>
      <c r="C105" s="28" t="s">
        <v>493</v>
      </c>
      <c r="D105" s="28" t="s">
        <v>274</v>
      </c>
      <c r="E105" s="28" t="str">
        <f>+_xlfn.XLOOKUP(D105,[1]Regiones!$B$4:$B$31,[1]Regiones!$G$4:$G$31)</f>
        <v>High</v>
      </c>
      <c r="F105" s="29">
        <f t="shared" si="14"/>
        <v>3</v>
      </c>
      <c r="G105" s="28">
        <f t="shared" si="17"/>
        <v>0.64290000000000003</v>
      </c>
      <c r="H105" s="28" t="s">
        <v>275</v>
      </c>
      <c r="I105" s="28">
        <f t="shared" si="18"/>
        <v>1</v>
      </c>
      <c r="J105" s="28">
        <f t="shared" si="19"/>
        <v>0.21429999999999999</v>
      </c>
      <c r="K105" s="28" t="s">
        <v>275</v>
      </c>
      <c r="L105" s="28">
        <f t="shared" si="20"/>
        <v>1</v>
      </c>
      <c r="M105" s="28">
        <f t="shared" si="21"/>
        <v>0.21429999999999999</v>
      </c>
      <c r="N105" s="28" t="s">
        <v>279</v>
      </c>
      <c r="O105" s="28">
        <f t="shared" si="15"/>
        <v>3</v>
      </c>
      <c r="P105" s="28">
        <f t="shared" si="22"/>
        <v>0.2142</v>
      </c>
      <c r="Q105" s="28" t="s">
        <v>275</v>
      </c>
      <c r="R105" s="28">
        <f t="shared" si="16"/>
        <v>1</v>
      </c>
      <c r="S105" s="28">
        <f t="shared" si="23"/>
        <v>0.1429</v>
      </c>
      <c r="T105" s="28" t="s">
        <v>276</v>
      </c>
      <c r="U105" s="28">
        <v>1</v>
      </c>
      <c r="V105" s="28">
        <f t="shared" si="24"/>
        <v>0.1429</v>
      </c>
      <c r="W105" s="30">
        <f t="shared" si="25"/>
        <v>1.5714999999999999</v>
      </c>
      <c r="X105" s="31">
        <f t="shared" si="27"/>
        <v>1.5714999999999999</v>
      </c>
      <c r="Y105" s="31">
        <v>2</v>
      </c>
      <c r="Z105" s="32" t="str">
        <f t="shared" si="26"/>
        <v>Medium</v>
      </c>
    </row>
    <row r="106" spans="2:26" x14ac:dyDescent="0.2">
      <c r="B106" s="28" t="s">
        <v>494</v>
      </c>
      <c r="C106" s="28" t="s">
        <v>495</v>
      </c>
      <c r="D106" s="28" t="s">
        <v>312</v>
      </c>
      <c r="E106" s="28" t="str">
        <f>+_xlfn.XLOOKUP(D106,[1]Regiones!$B$4:$B$31,[1]Regiones!$G$4:$G$31)</f>
        <v>High</v>
      </c>
      <c r="F106" s="29">
        <f t="shared" si="14"/>
        <v>3</v>
      </c>
      <c r="G106" s="28">
        <f t="shared" si="17"/>
        <v>0.64290000000000003</v>
      </c>
      <c r="H106" s="28" t="s">
        <v>275</v>
      </c>
      <c r="I106" s="28">
        <f t="shared" si="18"/>
        <v>1</v>
      </c>
      <c r="J106" s="28">
        <f t="shared" si="19"/>
        <v>0.21429999999999999</v>
      </c>
      <c r="K106" s="28" t="s">
        <v>279</v>
      </c>
      <c r="L106" s="28">
        <f t="shared" si="20"/>
        <v>3</v>
      </c>
      <c r="M106" s="28">
        <f t="shared" si="21"/>
        <v>0.64290000000000003</v>
      </c>
      <c r="N106" s="28" t="s">
        <v>275</v>
      </c>
      <c r="O106" s="28">
        <f t="shared" si="15"/>
        <v>1</v>
      </c>
      <c r="P106" s="28">
        <f t="shared" si="22"/>
        <v>7.1400000000000005E-2</v>
      </c>
      <c r="Q106" s="28" t="s">
        <v>275</v>
      </c>
      <c r="R106" s="28">
        <f t="shared" si="16"/>
        <v>1</v>
      </c>
      <c r="S106" s="28">
        <f t="shared" si="23"/>
        <v>0.1429</v>
      </c>
      <c r="T106" s="28" t="s">
        <v>276</v>
      </c>
      <c r="U106" s="28">
        <v>1</v>
      </c>
      <c r="V106" s="28">
        <f t="shared" si="24"/>
        <v>0.1429</v>
      </c>
      <c r="W106" s="30">
        <f t="shared" si="25"/>
        <v>1.8573</v>
      </c>
      <c r="X106" s="31">
        <f t="shared" si="27"/>
        <v>1.8573</v>
      </c>
      <c r="Y106" s="31">
        <v>2</v>
      </c>
      <c r="Z106" s="32" t="str">
        <f t="shared" si="26"/>
        <v>Medium</v>
      </c>
    </row>
    <row r="107" spans="2:26" x14ac:dyDescent="0.2">
      <c r="B107" s="28" t="s">
        <v>496</v>
      </c>
      <c r="C107" s="28" t="s">
        <v>497</v>
      </c>
      <c r="D107" s="28" t="s">
        <v>339</v>
      </c>
      <c r="E107" s="28" t="str">
        <f>+_xlfn.XLOOKUP(D107,[1]Regiones!$B$4:$B$31,[1]Regiones!$G$4:$G$31)</f>
        <v>Medium</v>
      </c>
      <c r="F107" s="29">
        <f t="shared" si="14"/>
        <v>2</v>
      </c>
      <c r="G107" s="28">
        <f t="shared" si="17"/>
        <v>0.42859999999999998</v>
      </c>
      <c r="H107" s="28" t="s">
        <v>275</v>
      </c>
      <c r="I107" s="28">
        <f t="shared" si="18"/>
        <v>1</v>
      </c>
      <c r="J107" s="28">
        <f t="shared" si="19"/>
        <v>0.21429999999999999</v>
      </c>
      <c r="K107" s="28" t="s">
        <v>275</v>
      </c>
      <c r="L107" s="28">
        <f t="shared" si="20"/>
        <v>1</v>
      </c>
      <c r="M107" s="28">
        <f t="shared" si="21"/>
        <v>0.21429999999999999</v>
      </c>
      <c r="N107" s="28" t="s">
        <v>279</v>
      </c>
      <c r="O107" s="28">
        <f t="shared" si="15"/>
        <v>3</v>
      </c>
      <c r="P107" s="28">
        <f t="shared" si="22"/>
        <v>0.2142</v>
      </c>
      <c r="Q107" s="28" t="s">
        <v>275</v>
      </c>
      <c r="R107" s="28">
        <f t="shared" si="16"/>
        <v>1</v>
      </c>
      <c r="S107" s="28">
        <f t="shared" si="23"/>
        <v>0.1429</v>
      </c>
      <c r="T107" s="28" t="s">
        <v>276</v>
      </c>
      <c r="U107" s="28">
        <v>1</v>
      </c>
      <c r="V107" s="28">
        <f t="shared" si="24"/>
        <v>0.1429</v>
      </c>
      <c r="W107" s="30">
        <f t="shared" si="25"/>
        <v>1.3572</v>
      </c>
      <c r="X107" s="31">
        <f t="shared" si="27"/>
        <v>1.3572</v>
      </c>
      <c r="Y107" s="31">
        <v>1</v>
      </c>
      <c r="Z107" s="32" t="str">
        <f t="shared" si="26"/>
        <v>Low</v>
      </c>
    </row>
    <row r="108" spans="2:26" x14ac:dyDescent="0.2">
      <c r="B108" s="28" t="s">
        <v>498</v>
      </c>
      <c r="C108" s="28" t="s">
        <v>499</v>
      </c>
      <c r="D108" s="28" t="s">
        <v>274</v>
      </c>
      <c r="E108" s="28" t="str">
        <f>+_xlfn.XLOOKUP(D108,[1]Regiones!$B$4:$B$31,[1]Regiones!$G$4:$G$31)</f>
        <v>High</v>
      </c>
      <c r="F108" s="29">
        <f t="shared" si="14"/>
        <v>3</v>
      </c>
      <c r="G108" s="28">
        <f t="shared" si="17"/>
        <v>0.64290000000000003</v>
      </c>
      <c r="H108" s="28" t="s">
        <v>275</v>
      </c>
      <c r="I108" s="28">
        <f t="shared" si="18"/>
        <v>1</v>
      </c>
      <c r="J108" s="28">
        <f t="shared" si="19"/>
        <v>0.21429999999999999</v>
      </c>
      <c r="K108" s="28" t="s">
        <v>275</v>
      </c>
      <c r="L108" s="28">
        <f t="shared" si="20"/>
        <v>1</v>
      </c>
      <c r="M108" s="28">
        <f t="shared" si="21"/>
        <v>0.21429999999999999</v>
      </c>
      <c r="N108" s="28" t="s">
        <v>275</v>
      </c>
      <c r="O108" s="28">
        <f t="shared" si="15"/>
        <v>1</v>
      </c>
      <c r="P108" s="28">
        <f t="shared" si="22"/>
        <v>7.1400000000000005E-2</v>
      </c>
      <c r="Q108" s="28" t="s">
        <v>275</v>
      </c>
      <c r="R108" s="28">
        <f t="shared" si="16"/>
        <v>1</v>
      </c>
      <c r="S108" s="28">
        <f t="shared" si="23"/>
        <v>0.1429</v>
      </c>
      <c r="T108" s="28" t="s">
        <v>276</v>
      </c>
      <c r="U108" s="28">
        <v>1</v>
      </c>
      <c r="V108" s="28">
        <f t="shared" si="24"/>
        <v>0.1429</v>
      </c>
      <c r="W108" s="30">
        <f t="shared" si="25"/>
        <v>1.4286999999999999</v>
      </c>
      <c r="X108" s="31">
        <f t="shared" si="27"/>
        <v>1.4286999999999999</v>
      </c>
      <c r="Y108" s="31">
        <v>1</v>
      </c>
      <c r="Z108" s="32" t="str">
        <f t="shared" si="26"/>
        <v>Low</v>
      </c>
    </row>
    <row r="109" spans="2:26" x14ac:dyDescent="0.2">
      <c r="B109" s="28" t="s">
        <v>500</v>
      </c>
      <c r="C109" s="28" t="s">
        <v>501</v>
      </c>
      <c r="D109" s="28" t="s">
        <v>316</v>
      </c>
      <c r="E109" s="28" t="str">
        <f>+_xlfn.XLOOKUP(D109,[1]Regiones!$B$4:$B$31,[1]Regiones!$G$4:$G$31)</f>
        <v>High</v>
      </c>
      <c r="F109" s="29">
        <f t="shared" si="14"/>
        <v>3</v>
      </c>
      <c r="G109" s="28">
        <f t="shared" si="17"/>
        <v>0.64290000000000003</v>
      </c>
      <c r="H109" s="28" t="s">
        <v>275</v>
      </c>
      <c r="I109" s="28">
        <f t="shared" si="18"/>
        <v>1</v>
      </c>
      <c r="J109" s="28">
        <f t="shared" si="19"/>
        <v>0.21429999999999999</v>
      </c>
      <c r="K109" s="28" t="s">
        <v>275</v>
      </c>
      <c r="L109" s="28">
        <f t="shared" si="20"/>
        <v>1</v>
      </c>
      <c r="M109" s="28">
        <f t="shared" si="21"/>
        <v>0.21429999999999999</v>
      </c>
      <c r="N109" s="28" t="s">
        <v>275</v>
      </c>
      <c r="O109" s="28">
        <f t="shared" si="15"/>
        <v>1</v>
      </c>
      <c r="P109" s="28">
        <f t="shared" si="22"/>
        <v>7.1400000000000005E-2</v>
      </c>
      <c r="Q109" s="28" t="s">
        <v>275</v>
      </c>
      <c r="R109" s="28">
        <f t="shared" si="16"/>
        <v>1</v>
      </c>
      <c r="S109" s="28">
        <f t="shared" si="23"/>
        <v>0.1429</v>
      </c>
      <c r="T109" s="28" t="s">
        <v>276</v>
      </c>
      <c r="U109" s="28">
        <v>1</v>
      </c>
      <c r="V109" s="28">
        <f t="shared" si="24"/>
        <v>0.1429</v>
      </c>
      <c r="W109" s="30">
        <f t="shared" si="25"/>
        <v>1.4286999999999999</v>
      </c>
      <c r="X109" s="31">
        <f t="shared" si="27"/>
        <v>1.4286999999999999</v>
      </c>
      <c r="Y109" s="31">
        <v>1</v>
      </c>
      <c r="Z109" s="32" t="str">
        <f t="shared" si="26"/>
        <v>Low</v>
      </c>
    </row>
    <row r="110" spans="2:26" x14ac:dyDescent="0.2">
      <c r="B110" s="28" t="s">
        <v>502</v>
      </c>
      <c r="C110" s="28" t="s">
        <v>503</v>
      </c>
      <c r="D110" s="28" t="s">
        <v>274</v>
      </c>
      <c r="E110" s="28" t="str">
        <f>+_xlfn.XLOOKUP(D110,[1]Regiones!$B$4:$B$31,[1]Regiones!$G$4:$G$31)</f>
        <v>High</v>
      </c>
      <c r="F110" s="29">
        <f t="shared" si="14"/>
        <v>3</v>
      </c>
      <c r="G110" s="28">
        <f t="shared" si="17"/>
        <v>0.64290000000000003</v>
      </c>
      <c r="H110" s="28" t="s">
        <v>275</v>
      </c>
      <c r="I110" s="28">
        <f t="shared" si="18"/>
        <v>1</v>
      </c>
      <c r="J110" s="28">
        <f t="shared" si="19"/>
        <v>0.21429999999999999</v>
      </c>
      <c r="K110" s="28" t="s">
        <v>275</v>
      </c>
      <c r="L110" s="28">
        <f t="shared" si="20"/>
        <v>1</v>
      </c>
      <c r="M110" s="28">
        <f t="shared" si="21"/>
        <v>0.21429999999999999</v>
      </c>
      <c r="N110" s="28" t="s">
        <v>275</v>
      </c>
      <c r="O110" s="28">
        <f t="shared" si="15"/>
        <v>1</v>
      </c>
      <c r="P110" s="28">
        <f t="shared" si="22"/>
        <v>7.1400000000000005E-2</v>
      </c>
      <c r="Q110" s="28" t="s">
        <v>275</v>
      </c>
      <c r="R110" s="28">
        <f t="shared" si="16"/>
        <v>1</v>
      </c>
      <c r="S110" s="28">
        <f t="shared" si="23"/>
        <v>0.1429</v>
      </c>
      <c r="T110" s="28" t="s">
        <v>276</v>
      </c>
      <c r="U110" s="28">
        <v>1</v>
      </c>
      <c r="V110" s="28">
        <f t="shared" si="24"/>
        <v>0.1429</v>
      </c>
      <c r="W110" s="30">
        <f t="shared" si="25"/>
        <v>1.4286999999999999</v>
      </c>
      <c r="X110" s="31">
        <f t="shared" si="27"/>
        <v>1.4286999999999999</v>
      </c>
      <c r="Y110" s="31">
        <v>1</v>
      </c>
      <c r="Z110" s="32" t="str">
        <f t="shared" si="26"/>
        <v>Low</v>
      </c>
    </row>
    <row r="111" spans="2:26" x14ac:dyDescent="0.2">
      <c r="B111" s="28" t="s">
        <v>504</v>
      </c>
      <c r="C111" s="28" t="s">
        <v>505</v>
      </c>
      <c r="D111" s="28" t="s">
        <v>506</v>
      </c>
      <c r="E111" s="28" t="str">
        <f>+_xlfn.XLOOKUP(D111,[1]Regiones!$B$4:$B$31,[1]Regiones!$G$4:$G$31)</f>
        <v>High</v>
      </c>
      <c r="F111" s="29">
        <f t="shared" si="14"/>
        <v>3</v>
      </c>
      <c r="G111" s="28">
        <f t="shared" si="17"/>
        <v>0.64290000000000003</v>
      </c>
      <c r="H111" s="28" t="s">
        <v>275</v>
      </c>
      <c r="I111" s="28">
        <f t="shared" si="18"/>
        <v>1</v>
      </c>
      <c r="J111" s="28">
        <f t="shared" si="19"/>
        <v>0.21429999999999999</v>
      </c>
      <c r="K111" s="28" t="s">
        <v>275</v>
      </c>
      <c r="L111" s="28">
        <f t="shared" si="20"/>
        <v>1</v>
      </c>
      <c r="M111" s="28">
        <f t="shared" si="21"/>
        <v>0.21429999999999999</v>
      </c>
      <c r="N111" s="28" t="s">
        <v>275</v>
      </c>
      <c r="O111" s="28">
        <f t="shared" si="15"/>
        <v>1</v>
      </c>
      <c r="P111" s="28">
        <f t="shared" si="22"/>
        <v>7.1400000000000005E-2</v>
      </c>
      <c r="Q111" s="28" t="s">
        <v>275</v>
      </c>
      <c r="R111" s="28">
        <f t="shared" si="16"/>
        <v>1</v>
      </c>
      <c r="S111" s="28">
        <f t="shared" si="23"/>
        <v>0.1429</v>
      </c>
      <c r="T111" s="28" t="s">
        <v>276</v>
      </c>
      <c r="U111" s="28">
        <v>1</v>
      </c>
      <c r="V111" s="28">
        <f t="shared" si="24"/>
        <v>0.1429</v>
      </c>
      <c r="W111" s="30">
        <f t="shared" si="25"/>
        <v>1.4286999999999999</v>
      </c>
      <c r="X111" s="31">
        <f t="shared" si="27"/>
        <v>1.4286999999999999</v>
      </c>
      <c r="Y111" s="31">
        <v>1</v>
      </c>
      <c r="Z111" s="32" t="str">
        <f t="shared" si="26"/>
        <v>Low</v>
      </c>
    </row>
    <row r="112" spans="2:26" x14ac:dyDescent="0.2">
      <c r="B112" s="28" t="s">
        <v>507</v>
      </c>
      <c r="C112" s="28" t="s">
        <v>508</v>
      </c>
      <c r="D112" s="28" t="s">
        <v>274</v>
      </c>
      <c r="E112" s="28" t="str">
        <f>+_xlfn.XLOOKUP(D112,[1]Regiones!$B$4:$B$31,[1]Regiones!$G$4:$G$31)</f>
        <v>High</v>
      </c>
      <c r="F112" s="29">
        <f t="shared" si="14"/>
        <v>3</v>
      </c>
      <c r="G112" s="28">
        <f t="shared" si="17"/>
        <v>0.64290000000000003</v>
      </c>
      <c r="H112" s="28" t="s">
        <v>275</v>
      </c>
      <c r="I112" s="28">
        <f t="shared" si="18"/>
        <v>1</v>
      </c>
      <c r="J112" s="28">
        <f t="shared" si="19"/>
        <v>0.21429999999999999</v>
      </c>
      <c r="K112" s="28" t="s">
        <v>275</v>
      </c>
      <c r="L112" s="28">
        <f t="shared" si="20"/>
        <v>1</v>
      </c>
      <c r="M112" s="28">
        <f t="shared" si="21"/>
        <v>0.21429999999999999</v>
      </c>
      <c r="N112" s="28" t="s">
        <v>275</v>
      </c>
      <c r="O112" s="28">
        <f t="shared" si="15"/>
        <v>1</v>
      </c>
      <c r="P112" s="28">
        <f t="shared" si="22"/>
        <v>7.1400000000000005E-2</v>
      </c>
      <c r="Q112" s="28" t="s">
        <v>275</v>
      </c>
      <c r="R112" s="28">
        <f t="shared" si="16"/>
        <v>1</v>
      </c>
      <c r="S112" s="28">
        <f t="shared" si="23"/>
        <v>0.1429</v>
      </c>
      <c r="T112" s="28" t="s">
        <v>276</v>
      </c>
      <c r="U112" s="28">
        <v>1</v>
      </c>
      <c r="V112" s="28">
        <f t="shared" si="24"/>
        <v>0.1429</v>
      </c>
      <c r="W112" s="30">
        <f t="shared" si="25"/>
        <v>1.4286999999999999</v>
      </c>
      <c r="X112" s="31">
        <f t="shared" si="27"/>
        <v>1.4286999999999999</v>
      </c>
      <c r="Y112" s="31">
        <v>1</v>
      </c>
      <c r="Z112" s="32" t="str">
        <f t="shared" si="26"/>
        <v>Low</v>
      </c>
    </row>
    <row r="113" spans="2:26" x14ac:dyDescent="0.2">
      <c r="B113" s="28" t="s">
        <v>509</v>
      </c>
      <c r="C113" s="28" t="s">
        <v>510</v>
      </c>
      <c r="D113" s="28" t="s">
        <v>411</v>
      </c>
      <c r="E113" s="28" t="str">
        <f>+_xlfn.XLOOKUP(D113,[1]Regiones!$B$4:$B$31,[1]Regiones!$G$4:$G$31)</f>
        <v>High</v>
      </c>
      <c r="F113" s="29">
        <f t="shared" si="14"/>
        <v>3</v>
      </c>
      <c r="G113" s="28">
        <f t="shared" si="17"/>
        <v>0.64290000000000003</v>
      </c>
      <c r="H113" s="28" t="s">
        <v>275</v>
      </c>
      <c r="I113" s="28">
        <f t="shared" si="18"/>
        <v>1</v>
      </c>
      <c r="J113" s="28">
        <f t="shared" si="19"/>
        <v>0.21429999999999999</v>
      </c>
      <c r="K113" s="28" t="s">
        <v>275</v>
      </c>
      <c r="L113" s="28">
        <f t="shared" si="20"/>
        <v>1</v>
      </c>
      <c r="M113" s="28">
        <f t="shared" si="21"/>
        <v>0.21429999999999999</v>
      </c>
      <c r="N113" s="28" t="s">
        <v>275</v>
      </c>
      <c r="O113" s="28">
        <f t="shared" si="15"/>
        <v>1</v>
      </c>
      <c r="P113" s="28">
        <f t="shared" si="22"/>
        <v>7.1400000000000005E-2</v>
      </c>
      <c r="Q113" s="28" t="s">
        <v>275</v>
      </c>
      <c r="R113" s="28">
        <f t="shared" si="16"/>
        <v>1</v>
      </c>
      <c r="S113" s="28">
        <f t="shared" si="23"/>
        <v>0.1429</v>
      </c>
      <c r="T113" s="28" t="s">
        <v>276</v>
      </c>
      <c r="U113" s="28">
        <v>1</v>
      </c>
      <c r="V113" s="28">
        <f t="shared" si="24"/>
        <v>0.1429</v>
      </c>
      <c r="W113" s="30">
        <f t="shared" si="25"/>
        <v>1.4286999999999999</v>
      </c>
      <c r="X113" s="31">
        <f t="shared" si="27"/>
        <v>1.4286999999999999</v>
      </c>
      <c r="Y113" s="31">
        <v>1</v>
      </c>
      <c r="Z113" s="32" t="str">
        <f t="shared" si="26"/>
        <v>Low</v>
      </c>
    </row>
    <row r="114" spans="2:26" x14ac:dyDescent="0.2">
      <c r="B114" s="28" t="s">
        <v>511</v>
      </c>
      <c r="C114" s="28" t="s">
        <v>512</v>
      </c>
      <c r="D114" s="28" t="s">
        <v>363</v>
      </c>
      <c r="E114" s="28" t="str">
        <f>+_xlfn.XLOOKUP(D114,[1]Regiones!$B$4:$B$31,[1]Regiones!$G$4:$G$31)</f>
        <v>Low</v>
      </c>
      <c r="F114" s="29">
        <f t="shared" si="14"/>
        <v>1</v>
      </c>
      <c r="G114" s="28">
        <f t="shared" si="17"/>
        <v>0.21429999999999999</v>
      </c>
      <c r="H114" s="28" t="s">
        <v>275</v>
      </c>
      <c r="I114" s="28">
        <f t="shared" si="18"/>
        <v>1</v>
      </c>
      <c r="J114" s="28">
        <f t="shared" si="19"/>
        <v>0.21429999999999999</v>
      </c>
      <c r="K114" s="28" t="s">
        <v>275</v>
      </c>
      <c r="L114" s="28">
        <f t="shared" si="20"/>
        <v>1</v>
      </c>
      <c r="M114" s="28">
        <f t="shared" si="21"/>
        <v>0.21429999999999999</v>
      </c>
      <c r="N114" s="28" t="s">
        <v>275</v>
      </c>
      <c r="O114" s="28">
        <f t="shared" si="15"/>
        <v>1</v>
      </c>
      <c r="P114" s="28">
        <f t="shared" si="22"/>
        <v>7.1400000000000005E-2</v>
      </c>
      <c r="Q114" s="28" t="s">
        <v>275</v>
      </c>
      <c r="R114" s="28">
        <f t="shared" si="16"/>
        <v>1</v>
      </c>
      <c r="S114" s="28">
        <f t="shared" si="23"/>
        <v>0.1429</v>
      </c>
      <c r="T114" s="28" t="s">
        <v>276</v>
      </c>
      <c r="U114" s="28">
        <v>1</v>
      </c>
      <c r="V114" s="28">
        <f t="shared" si="24"/>
        <v>0.1429</v>
      </c>
      <c r="W114" s="30">
        <f t="shared" si="25"/>
        <v>1.0001</v>
      </c>
      <c r="X114" s="31">
        <f t="shared" si="27"/>
        <v>1.0001</v>
      </c>
      <c r="Y114" s="31">
        <v>1</v>
      </c>
      <c r="Z114" s="32" t="str">
        <f t="shared" si="26"/>
        <v>Low</v>
      </c>
    </row>
    <row r="115" spans="2:26" x14ac:dyDescent="0.2">
      <c r="B115" s="28" t="s">
        <v>513</v>
      </c>
      <c r="C115" s="28" t="s">
        <v>514</v>
      </c>
      <c r="D115" s="28" t="s">
        <v>274</v>
      </c>
      <c r="E115" s="28" t="str">
        <f>+_xlfn.XLOOKUP(D115,[1]Regiones!$B$4:$B$31,[1]Regiones!$G$4:$G$31)</f>
        <v>High</v>
      </c>
      <c r="F115" s="29">
        <f t="shared" si="14"/>
        <v>3</v>
      </c>
      <c r="G115" s="28">
        <f t="shared" si="17"/>
        <v>0.64290000000000003</v>
      </c>
      <c r="H115" s="28" t="s">
        <v>275</v>
      </c>
      <c r="I115" s="28">
        <f t="shared" si="18"/>
        <v>1</v>
      </c>
      <c r="J115" s="28">
        <f t="shared" si="19"/>
        <v>0.21429999999999999</v>
      </c>
      <c r="K115" s="28" t="s">
        <v>275</v>
      </c>
      <c r="L115" s="28">
        <f t="shared" si="20"/>
        <v>1</v>
      </c>
      <c r="M115" s="28">
        <f t="shared" si="21"/>
        <v>0.21429999999999999</v>
      </c>
      <c r="N115" s="28" t="s">
        <v>275</v>
      </c>
      <c r="O115" s="28">
        <f t="shared" si="15"/>
        <v>1</v>
      </c>
      <c r="P115" s="28">
        <f t="shared" si="22"/>
        <v>7.1400000000000005E-2</v>
      </c>
      <c r="Q115" s="28" t="s">
        <v>275</v>
      </c>
      <c r="R115" s="28">
        <f t="shared" si="16"/>
        <v>1</v>
      </c>
      <c r="S115" s="28">
        <f t="shared" si="23"/>
        <v>0.1429</v>
      </c>
      <c r="T115" s="28" t="s">
        <v>276</v>
      </c>
      <c r="U115" s="28">
        <v>1</v>
      </c>
      <c r="V115" s="28">
        <f t="shared" si="24"/>
        <v>0.1429</v>
      </c>
      <c r="W115" s="30">
        <f t="shared" si="25"/>
        <v>1.4286999999999999</v>
      </c>
      <c r="X115" s="31">
        <f t="shared" si="27"/>
        <v>1.4286999999999999</v>
      </c>
      <c r="Y115" s="31">
        <v>1</v>
      </c>
      <c r="Z115" s="32" t="str">
        <f t="shared" si="26"/>
        <v>Low</v>
      </c>
    </row>
    <row r="116" spans="2:26" x14ac:dyDescent="0.2">
      <c r="B116" s="28" t="s">
        <v>515</v>
      </c>
      <c r="C116" s="28" t="s">
        <v>516</v>
      </c>
      <c r="D116" s="28" t="s">
        <v>274</v>
      </c>
      <c r="E116" s="28" t="str">
        <f>+_xlfn.XLOOKUP(D116,[1]Regiones!$B$4:$B$31,[1]Regiones!$G$4:$G$31)</f>
        <v>High</v>
      </c>
      <c r="F116" s="29">
        <f t="shared" si="14"/>
        <v>3</v>
      </c>
      <c r="G116" s="28">
        <f t="shared" si="17"/>
        <v>0.64290000000000003</v>
      </c>
      <c r="H116" s="28" t="s">
        <v>275</v>
      </c>
      <c r="I116" s="28">
        <f t="shared" si="18"/>
        <v>1</v>
      </c>
      <c r="J116" s="28">
        <f t="shared" si="19"/>
        <v>0.21429999999999999</v>
      </c>
      <c r="K116" s="28" t="s">
        <v>275</v>
      </c>
      <c r="L116" s="28">
        <f t="shared" si="20"/>
        <v>1</v>
      </c>
      <c r="M116" s="28">
        <f t="shared" si="21"/>
        <v>0.21429999999999999</v>
      </c>
      <c r="N116" s="28" t="s">
        <v>279</v>
      </c>
      <c r="O116" s="28">
        <f t="shared" si="15"/>
        <v>3</v>
      </c>
      <c r="P116" s="28">
        <f t="shared" si="22"/>
        <v>0.2142</v>
      </c>
      <c r="Q116" s="28" t="s">
        <v>279</v>
      </c>
      <c r="R116" s="28">
        <f t="shared" si="16"/>
        <v>3</v>
      </c>
      <c r="S116" s="28">
        <f t="shared" si="23"/>
        <v>0.42869999999999997</v>
      </c>
      <c r="T116" s="28" t="s">
        <v>276</v>
      </c>
      <c r="U116" s="28">
        <v>1</v>
      </c>
      <c r="V116" s="28">
        <f t="shared" si="24"/>
        <v>0.1429</v>
      </c>
      <c r="W116" s="30">
        <f t="shared" si="25"/>
        <v>1.8573</v>
      </c>
      <c r="X116" s="31">
        <f t="shared" si="27"/>
        <v>1.8573</v>
      </c>
      <c r="Y116" s="31">
        <v>2</v>
      </c>
      <c r="Z116" s="32" t="str">
        <f t="shared" si="26"/>
        <v>Medium</v>
      </c>
    </row>
    <row r="117" spans="2:26" x14ac:dyDescent="0.2">
      <c r="B117" s="28" t="s">
        <v>517</v>
      </c>
      <c r="C117" s="28" t="s">
        <v>518</v>
      </c>
      <c r="D117" s="28" t="s">
        <v>328</v>
      </c>
      <c r="E117" s="28" t="str">
        <f>+_xlfn.XLOOKUP(D117,[1]Regiones!$B$4:$B$31,[1]Regiones!$G$4:$G$31)</f>
        <v>High</v>
      </c>
      <c r="F117" s="29">
        <f t="shared" si="14"/>
        <v>3</v>
      </c>
      <c r="G117" s="28">
        <f t="shared" si="17"/>
        <v>0.64290000000000003</v>
      </c>
      <c r="H117" s="28" t="s">
        <v>275</v>
      </c>
      <c r="I117" s="28">
        <f t="shared" si="18"/>
        <v>1</v>
      </c>
      <c r="J117" s="28">
        <f t="shared" si="19"/>
        <v>0.21429999999999999</v>
      </c>
      <c r="K117" s="28" t="s">
        <v>275</v>
      </c>
      <c r="L117" s="28">
        <f t="shared" si="20"/>
        <v>1</v>
      </c>
      <c r="M117" s="28">
        <f t="shared" si="21"/>
        <v>0.21429999999999999</v>
      </c>
      <c r="N117" s="28" t="s">
        <v>275</v>
      </c>
      <c r="O117" s="28">
        <f t="shared" si="15"/>
        <v>1</v>
      </c>
      <c r="P117" s="28">
        <f t="shared" si="22"/>
        <v>7.1400000000000005E-2</v>
      </c>
      <c r="Q117" s="28" t="s">
        <v>275</v>
      </c>
      <c r="R117" s="28">
        <f t="shared" si="16"/>
        <v>1</v>
      </c>
      <c r="S117" s="28">
        <f t="shared" si="23"/>
        <v>0.1429</v>
      </c>
      <c r="T117" s="28" t="s">
        <v>276</v>
      </c>
      <c r="U117" s="28">
        <v>1</v>
      </c>
      <c r="V117" s="28">
        <f t="shared" si="24"/>
        <v>0.1429</v>
      </c>
      <c r="W117" s="30">
        <f t="shared" si="25"/>
        <v>1.4286999999999999</v>
      </c>
      <c r="X117" s="31">
        <f t="shared" si="27"/>
        <v>1.4286999999999999</v>
      </c>
      <c r="Y117" s="31">
        <v>1</v>
      </c>
      <c r="Z117" s="32" t="str">
        <f t="shared" si="26"/>
        <v>Low</v>
      </c>
    </row>
    <row r="118" spans="2:26" x14ac:dyDescent="0.2">
      <c r="B118" s="28" t="s">
        <v>519</v>
      </c>
      <c r="C118" s="28" t="s">
        <v>520</v>
      </c>
      <c r="D118" s="28" t="s">
        <v>274</v>
      </c>
      <c r="E118" s="28" t="str">
        <f>+_xlfn.XLOOKUP(D118,[1]Regiones!$B$4:$B$31,[1]Regiones!$G$4:$G$31)</f>
        <v>High</v>
      </c>
      <c r="F118" s="29">
        <f t="shared" si="14"/>
        <v>3</v>
      </c>
      <c r="G118" s="28">
        <f t="shared" si="17"/>
        <v>0.64290000000000003</v>
      </c>
      <c r="H118" s="28" t="s">
        <v>275</v>
      </c>
      <c r="I118" s="28">
        <f t="shared" si="18"/>
        <v>1</v>
      </c>
      <c r="J118" s="28">
        <f t="shared" si="19"/>
        <v>0.21429999999999999</v>
      </c>
      <c r="K118" s="28" t="s">
        <v>275</v>
      </c>
      <c r="L118" s="28">
        <f t="shared" si="20"/>
        <v>1</v>
      </c>
      <c r="M118" s="28">
        <f t="shared" si="21"/>
        <v>0.21429999999999999</v>
      </c>
      <c r="N118" s="28" t="s">
        <v>279</v>
      </c>
      <c r="O118" s="28">
        <f t="shared" si="15"/>
        <v>3</v>
      </c>
      <c r="P118" s="28">
        <f t="shared" si="22"/>
        <v>0.2142</v>
      </c>
      <c r="Q118" s="28" t="s">
        <v>279</v>
      </c>
      <c r="R118" s="28">
        <f t="shared" si="16"/>
        <v>3</v>
      </c>
      <c r="S118" s="28">
        <f t="shared" si="23"/>
        <v>0.42869999999999997</v>
      </c>
      <c r="T118" s="28" t="s">
        <v>280</v>
      </c>
      <c r="U118" s="28">
        <v>3</v>
      </c>
      <c r="V118" s="28">
        <f t="shared" si="24"/>
        <v>0.42869999999999997</v>
      </c>
      <c r="W118" s="30">
        <f t="shared" si="25"/>
        <v>2.1431</v>
      </c>
      <c r="X118" s="31">
        <f t="shared" si="27"/>
        <v>2.1431</v>
      </c>
      <c r="Y118" s="31">
        <v>2</v>
      </c>
      <c r="Z118" s="32" t="str">
        <f t="shared" si="26"/>
        <v>Medium</v>
      </c>
    </row>
    <row r="119" spans="2:26" x14ac:dyDescent="0.2">
      <c r="B119" s="28" t="s">
        <v>521</v>
      </c>
      <c r="C119" s="28" t="s">
        <v>522</v>
      </c>
      <c r="D119" s="28" t="s">
        <v>274</v>
      </c>
      <c r="E119" s="28" t="str">
        <f>+_xlfn.XLOOKUP(D119,[1]Regiones!$B$4:$B$31,[1]Regiones!$G$4:$G$31)</f>
        <v>High</v>
      </c>
      <c r="F119" s="29">
        <f t="shared" si="14"/>
        <v>3</v>
      </c>
      <c r="G119" s="28">
        <f t="shared" si="17"/>
        <v>0.64290000000000003</v>
      </c>
      <c r="H119" s="28" t="s">
        <v>275</v>
      </c>
      <c r="I119" s="28">
        <f t="shared" si="18"/>
        <v>1</v>
      </c>
      <c r="J119" s="28">
        <f t="shared" si="19"/>
        <v>0.21429999999999999</v>
      </c>
      <c r="K119" s="28" t="s">
        <v>275</v>
      </c>
      <c r="L119" s="28">
        <f t="shared" si="20"/>
        <v>1</v>
      </c>
      <c r="M119" s="28">
        <f t="shared" si="21"/>
        <v>0.21429999999999999</v>
      </c>
      <c r="N119" s="28" t="s">
        <v>275</v>
      </c>
      <c r="O119" s="28">
        <f t="shared" si="15"/>
        <v>1</v>
      </c>
      <c r="P119" s="28">
        <f t="shared" si="22"/>
        <v>7.1400000000000005E-2</v>
      </c>
      <c r="Q119" s="28" t="s">
        <v>275</v>
      </c>
      <c r="R119" s="28">
        <f t="shared" si="16"/>
        <v>1</v>
      </c>
      <c r="S119" s="28">
        <f t="shared" si="23"/>
        <v>0.1429</v>
      </c>
      <c r="T119" s="28" t="s">
        <v>276</v>
      </c>
      <c r="U119" s="28">
        <v>1</v>
      </c>
      <c r="V119" s="28">
        <f t="shared" si="24"/>
        <v>0.1429</v>
      </c>
      <c r="W119" s="30">
        <f t="shared" si="25"/>
        <v>1.4286999999999999</v>
      </c>
      <c r="X119" s="31">
        <f t="shared" si="27"/>
        <v>1.4286999999999999</v>
      </c>
      <c r="Y119" s="31">
        <v>1</v>
      </c>
      <c r="Z119" s="32" t="str">
        <f t="shared" si="26"/>
        <v>Low</v>
      </c>
    </row>
    <row r="120" spans="2:26" x14ac:dyDescent="0.2">
      <c r="B120" s="28" t="s">
        <v>523</v>
      </c>
      <c r="C120" s="28" t="s">
        <v>524</v>
      </c>
      <c r="D120" s="28" t="s">
        <v>274</v>
      </c>
      <c r="E120" s="28" t="str">
        <f>+_xlfn.XLOOKUP(D120,[1]Regiones!$B$4:$B$31,[1]Regiones!$G$4:$G$31)</f>
        <v>High</v>
      </c>
      <c r="F120" s="29">
        <f t="shared" si="14"/>
        <v>3</v>
      </c>
      <c r="G120" s="28">
        <f t="shared" si="17"/>
        <v>0.64290000000000003</v>
      </c>
      <c r="H120" s="28" t="s">
        <v>275</v>
      </c>
      <c r="I120" s="28">
        <f t="shared" si="18"/>
        <v>1</v>
      </c>
      <c r="J120" s="28">
        <f t="shared" si="19"/>
        <v>0.21429999999999999</v>
      </c>
      <c r="K120" s="28" t="s">
        <v>275</v>
      </c>
      <c r="L120" s="28">
        <f t="shared" si="20"/>
        <v>1</v>
      </c>
      <c r="M120" s="28">
        <f t="shared" si="21"/>
        <v>0.21429999999999999</v>
      </c>
      <c r="N120" s="28" t="s">
        <v>279</v>
      </c>
      <c r="O120" s="28">
        <f t="shared" si="15"/>
        <v>3</v>
      </c>
      <c r="P120" s="28">
        <f t="shared" si="22"/>
        <v>0.2142</v>
      </c>
      <c r="Q120" s="28" t="s">
        <v>279</v>
      </c>
      <c r="R120" s="28">
        <f t="shared" si="16"/>
        <v>3</v>
      </c>
      <c r="S120" s="28">
        <f t="shared" si="23"/>
        <v>0.42869999999999997</v>
      </c>
      <c r="T120" s="28" t="s">
        <v>280</v>
      </c>
      <c r="U120" s="28">
        <v>3</v>
      </c>
      <c r="V120" s="28">
        <f t="shared" si="24"/>
        <v>0.42869999999999997</v>
      </c>
      <c r="W120" s="30">
        <f t="shared" si="25"/>
        <v>2.1431</v>
      </c>
      <c r="X120" s="31">
        <f t="shared" si="27"/>
        <v>2.1431</v>
      </c>
      <c r="Y120" s="31">
        <v>2</v>
      </c>
      <c r="Z120" s="32" t="str">
        <f t="shared" si="26"/>
        <v>Medium</v>
      </c>
    </row>
    <row r="121" spans="2:26" x14ac:dyDescent="0.2">
      <c r="B121" s="28" t="s">
        <v>525</v>
      </c>
      <c r="C121" s="28" t="s">
        <v>526</v>
      </c>
      <c r="D121" s="28" t="s">
        <v>274</v>
      </c>
      <c r="E121" s="28" t="str">
        <f>+_xlfn.XLOOKUP(D121,[1]Regiones!$B$4:$B$31,[1]Regiones!$G$4:$G$31)</f>
        <v>High</v>
      </c>
      <c r="F121" s="29">
        <f t="shared" si="14"/>
        <v>3</v>
      </c>
      <c r="G121" s="28">
        <f t="shared" si="17"/>
        <v>0.64290000000000003</v>
      </c>
      <c r="H121" s="28" t="s">
        <v>275</v>
      </c>
      <c r="I121" s="28">
        <f t="shared" si="18"/>
        <v>1</v>
      </c>
      <c r="J121" s="28">
        <f t="shared" si="19"/>
        <v>0.21429999999999999</v>
      </c>
      <c r="K121" s="28" t="s">
        <v>275</v>
      </c>
      <c r="L121" s="28">
        <f t="shared" si="20"/>
        <v>1</v>
      </c>
      <c r="M121" s="28">
        <f t="shared" si="21"/>
        <v>0.21429999999999999</v>
      </c>
      <c r="N121" s="28" t="s">
        <v>275</v>
      </c>
      <c r="O121" s="28">
        <f t="shared" si="15"/>
        <v>1</v>
      </c>
      <c r="P121" s="28">
        <f t="shared" si="22"/>
        <v>7.1400000000000005E-2</v>
      </c>
      <c r="Q121" s="28" t="s">
        <v>275</v>
      </c>
      <c r="R121" s="28">
        <f t="shared" si="16"/>
        <v>1</v>
      </c>
      <c r="S121" s="28">
        <f t="shared" si="23"/>
        <v>0.1429</v>
      </c>
      <c r="T121" s="28" t="s">
        <v>276</v>
      </c>
      <c r="U121" s="28">
        <v>1</v>
      </c>
      <c r="V121" s="28">
        <f t="shared" si="24"/>
        <v>0.1429</v>
      </c>
      <c r="W121" s="30">
        <f t="shared" si="25"/>
        <v>1.4286999999999999</v>
      </c>
      <c r="X121" s="31">
        <f t="shared" si="27"/>
        <v>1.4286999999999999</v>
      </c>
      <c r="Y121" s="31">
        <v>1</v>
      </c>
      <c r="Z121" s="32" t="str">
        <f t="shared" si="26"/>
        <v>Low</v>
      </c>
    </row>
    <row r="122" spans="2:26" x14ac:dyDescent="0.2">
      <c r="B122" s="28" t="s">
        <v>527</v>
      </c>
      <c r="C122" s="28" t="s">
        <v>528</v>
      </c>
      <c r="D122" s="28" t="s">
        <v>274</v>
      </c>
      <c r="E122" s="28" t="str">
        <f>+_xlfn.XLOOKUP(D122,[1]Regiones!$B$4:$B$31,[1]Regiones!$G$4:$G$31)</f>
        <v>High</v>
      </c>
      <c r="F122" s="29">
        <f t="shared" si="14"/>
        <v>3</v>
      </c>
      <c r="G122" s="28">
        <f t="shared" si="17"/>
        <v>0.64290000000000003</v>
      </c>
      <c r="H122" s="28" t="s">
        <v>275</v>
      </c>
      <c r="I122" s="28">
        <f t="shared" si="18"/>
        <v>1</v>
      </c>
      <c r="J122" s="28">
        <f t="shared" si="19"/>
        <v>0.21429999999999999</v>
      </c>
      <c r="K122" s="28" t="s">
        <v>275</v>
      </c>
      <c r="L122" s="28">
        <f t="shared" si="20"/>
        <v>1</v>
      </c>
      <c r="M122" s="28">
        <f t="shared" si="21"/>
        <v>0.21429999999999999</v>
      </c>
      <c r="N122" s="28" t="s">
        <v>275</v>
      </c>
      <c r="O122" s="28">
        <f t="shared" si="15"/>
        <v>1</v>
      </c>
      <c r="P122" s="28">
        <f t="shared" si="22"/>
        <v>7.1400000000000005E-2</v>
      </c>
      <c r="Q122" s="28" t="s">
        <v>275</v>
      </c>
      <c r="R122" s="28">
        <f t="shared" si="16"/>
        <v>1</v>
      </c>
      <c r="S122" s="28">
        <f t="shared" si="23"/>
        <v>0.1429</v>
      </c>
      <c r="T122" s="28" t="s">
        <v>276</v>
      </c>
      <c r="U122" s="28">
        <v>1</v>
      </c>
      <c r="V122" s="28">
        <f t="shared" si="24"/>
        <v>0.1429</v>
      </c>
      <c r="W122" s="30">
        <f t="shared" si="25"/>
        <v>1.4286999999999999</v>
      </c>
      <c r="X122" s="31">
        <f t="shared" si="27"/>
        <v>1.4286999999999999</v>
      </c>
      <c r="Y122" s="31">
        <v>1</v>
      </c>
      <c r="Z122" s="32" t="str">
        <f t="shared" si="26"/>
        <v>Low</v>
      </c>
    </row>
    <row r="123" spans="2:26" x14ac:dyDescent="0.2">
      <c r="B123" s="28" t="s">
        <v>529</v>
      </c>
      <c r="C123" s="28" t="s">
        <v>530</v>
      </c>
      <c r="D123" s="28" t="s">
        <v>339</v>
      </c>
      <c r="E123" s="28" t="str">
        <f>+_xlfn.XLOOKUP(D123,[1]Regiones!$B$4:$B$31,[1]Regiones!$G$4:$G$31)</f>
        <v>Medium</v>
      </c>
      <c r="F123" s="29">
        <f t="shared" si="14"/>
        <v>2</v>
      </c>
      <c r="G123" s="28">
        <f t="shared" si="17"/>
        <v>0.42859999999999998</v>
      </c>
      <c r="H123" s="28" t="s">
        <v>275</v>
      </c>
      <c r="I123" s="28">
        <f t="shared" si="18"/>
        <v>1</v>
      </c>
      <c r="J123" s="28">
        <f t="shared" si="19"/>
        <v>0.21429999999999999</v>
      </c>
      <c r="K123" s="28" t="s">
        <v>275</v>
      </c>
      <c r="L123" s="28">
        <f t="shared" si="20"/>
        <v>1</v>
      </c>
      <c r="M123" s="28">
        <f t="shared" si="21"/>
        <v>0.21429999999999999</v>
      </c>
      <c r="N123" s="28" t="s">
        <v>279</v>
      </c>
      <c r="O123" s="28">
        <f t="shared" si="15"/>
        <v>3</v>
      </c>
      <c r="P123" s="28">
        <f t="shared" si="22"/>
        <v>0.2142</v>
      </c>
      <c r="Q123" s="28" t="s">
        <v>275</v>
      </c>
      <c r="R123" s="28">
        <f t="shared" si="16"/>
        <v>1</v>
      </c>
      <c r="S123" s="28">
        <f t="shared" si="23"/>
        <v>0.1429</v>
      </c>
      <c r="T123" s="28" t="s">
        <v>276</v>
      </c>
      <c r="U123" s="28">
        <v>1</v>
      </c>
      <c r="V123" s="28">
        <f t="shared" si="24"/>
        <v>0.1429</v>
      </c>
      <c r="W123" s="30">
        <f t="shared" si="25"/>
        <v>1.3572</v>
      </c>
      <c r="X123" s="31">
        <f t="shared" si="27"/>
        <v>1.3572</v>
      </c>
      <c r="Y123" s="31">
        <v>1</v>
      </c>
      <c r="Z123" s="32" t="str">
        <f t="shared" si="26"/>
        <v>Low</v>
      </c>
    </row>
    <row r="124" spans="2:26" x14ac:dyDescent="0.2">
      <c r="B124" s="28" t="s">
        <v>531</v>
      </c>
      <c r="C124" s="28" t="s">
        <v>532</v>
      </c>
      <c r="D124" s="28" t="s">
        <v>411</v>
      </c>
      <c r="E124" s="28" t="str">
        <f>+_xlfn.XLOOKUP(D124,[1]Regiones!$B$4:$B$31,[1]Regiones!$G$4:$G$31)</f>
        <v>High</v>
      </c>
      <c r="F124" s="29">
        <f t="shared" si="14"/>
        <v>3</v>
      </c>
      <c r="G124" s="28">
        <f t="shared" si="17"/>
        <v>0.64290000000000003</v>
      </c>
      <c r="H124" s="28" t="s">
        <v>275</v>
      </c>
      <c r="I124" s="28">
        <f t="shared" si="18"/>
        <v>1</v>
      </c>
      <c r="J124" s="28">
        <f t="shared" si="19"/>
        <v>0.21429999999999999</v>
      </c>
      <c r="K124" s="28" t="s">
        <v>275</v>
      </c>
      <c r="L124" s="28">
        <f t="shared" si="20"/>
        <v>1</v>
      </c>
      <c r="M124" s="28">
        <f t="shared" si="21"/>
        <v>0.21429999999999999</v>
      </c>
      <c r="N124" s="28" t="s">
        <v>275</v>
      </c>
      <c r="O124" s="28">
        <f t="shared" si="15"/>
        <v>1</v>
      </c>
      <c r="P124" s="28">
        <f t="shared" si="22"/>
        <v>7.1400000000000005E-2</v>
      </c>
      <c r="Q124" s="28" t="s">
        <v>275</v>
      </c>
      <c r="R124" s="28">
        <f t="shared" si="16"/>
        <v>1</v>
      </c>
      <c r="S124" s="28">
        <f t="shared" si="23"/>
        <v>0.1429</v>
      </c>
      <c r="T124" s="28" t="s">
        <v>276</v>
      </c>
      <c r="U124" s="28">
        <v>1</v>
      </c>
      <c r="V124" s="28">
        <f t="shared" si="24"/>
        <v>0.1429</v>
      </c>
      <c r="W124" s="30">
        <f t="shared" si="25"/>
        <v>1.4286999999999999</v>
      </c>
      <c r="X124" s="31">
        <f t="shared" si="27"/>
        <v>1.4286999999999999</v>
      </c>
      <c r="Y124" s="31">
        <v>1</v>
      </c>
      <c r="Z124" s="32" t="str">
        <f t="shared" si="26"/>
        <v>Low</v>
      </c>
    </row>
    <row r="125" spans="2:26" x14ac:dyDescent="0.2">
      <c r="B125" s="28" t="s">
        <v>533</v>
      </c>
      <c r="C125" s="28" t="s">
        <v>534</v>
      </c>
      <c r="D125" s="28" t="s">
        <v>274</v>
      </c>
      <c r="E125" s="28" t="str">
        <f>+_xlfn.XLOOKUP(D125,[1]Regiones!$B$4:$B$31,[1]Regiones!$G$4:$G$31)</f>
        <v>High</v>
      </c>
      <c r="F125" s="29">
        <f t="shared" si="14"/>
        <v>3</v>
      </c>
      <c r="G125" s="28">
        <f t="shared" si="17"/>
        <v>0.64290000000000003</v>
      </c>
      <c r="H125" s="28" t="s">
        <v>275</v>
      </c>
      <c r="I125" s="28">
        <f t="shared" si="18"/>
        <v>1</v>
      </c>
      <c r="J125" s="28">
        <f t="shared" si="19"/>
        <v>0.21429999999999999</v>
      </c>
      <c r="K125" s="28" t="s">
        <v>279</v>
      </c>
      <c r="L125" s="28">
        <f t="shared" si="20"/>
        <v>3</v>
      </c>
      <c r="M125" s="28">
        <f t="shared" si="21"/>
        <v>0.64290000000000003</v>
      </c>
      <c r="N125" s="28" t="s">
        <v>275</v>
      </c>
      <c r="O125" s="28">
        <f t="shared" si="15"/>
        <v>1</v>
      </c>
      <c r="P125" s="28">
        <f t="shared" si="22"/>
        <v>7.1400000000000005E-2</v>
      </c>
      <c r="Q125" s="28" t="s">
        <v>275</v>
      </c>
      <c r="R125" s="28">
        <f t="shared" si="16"/>
        <v>1</v>
      </c>
      <c r="S125" s="28">
        <f t="shared" si="23"/>
        <v>0.1429</v>
      </c>
      <c r="T125" s="28" t="s">
        <v>276</v>
      </c>
      <c r="U125" s="28">
        <v>1</v>
      </c>
      <c r="V125" s="28">
        <f t="shared" si="24"/>
        <v>0.1429</v>
      </c>
      <c r="W125" s="30">
        <f t="shared" si="25"/>
        <v>1.8573</v>
      </c>
      <c r="X125" s="31">
        <f t="shared" si="27"/>
        <v>1.8573</v>
      </c>
      <c r="Y125" s="31">
        <v>2</v>
      </c>
      <c r="Z125" s="32" t="str">
        <f t="shared" si="26"/>
        <v>Medium</v>
      </c>
    </row>
    <row r="126" spans="2:26" x14ac:dyDescent="0.2">
      <c r="B126" s="28" t="s">
        <v>535</v>
      </c>
      <c r="C126" s="28" t="s">
        <v>536</v>
      </c>
      <c r="D126" s="28" t="s">
        <v>274</v>
      </c>
      <c r="E126" s="28" t="str">
        <f>+_xlfn.XLOOKUP(D126,[1]Regiones!$B$4:$B$31,[1]Regiones!$G$4:$G$31)</f>
        <v>High</v>
      </c>
      <c r="F126" s="29">
        <f t="shared" si="14"/>
        <v>3</v>
      </c>
      <c r="G126" s="28">
        <f t="shared" si="17"/>
        <v>0.64290000000000003</v>
      </c>
      <c r="H126" s="28" t="s">
        <v>275</v>
      </c>
      <c r="I126" s="28">
        <f t="shared" si="18"/>
        <v>1</v>
      </c>
      <c r="J126" s="28">
        <f t="shared" si="19"/>
        <v>0.21429999999999999</v>
      </c>
      <c r="K126" s="28" t="s">
        <v>275</v>
      </c>
      <c r="L126" s="28">
        <f t="shared" si="20"/>
        <v>1</v>
      </c>
      <c r="M126" s="28">
        <f t="shared" si="21"/>
        <v>0.21429999999999999</v>
      </c>
      <c r="N126" s="28" t="s">
        <v>279</v>
      </c>
      <c r="O126" s="28">
        <f t="shared" si="15"/>
        <v>3</v>
      </c>
      <c r="P126" s="28">
        <f t="shared" si="22"/>
        <v>0.2142</v>
      </c>
      <c r="Q126" s="28" t="s">
        <v>279</v>
      </c>
      <c r="R126" s="28">
        <f t="shared" si="16"/>
        <v>3</v>
      </c>
      <c r="S126" s="28">
        <f t="shared" si="23"/>
        <v>0.42869999999999997</v>
      </c>
      <c r="T126" s="28" t="s">
        <v>276</v>
      </c>
      <c r="U126" s="28">
        <v>1</v>
      </c>
      <c r="V126" s="28">
        <f t="shared" si="24"/>
        <v>0.1429</v>
      </c>
      <c r="W126" s="30">
        <f t="shared" si="25"/>
        <v>1.8573</v>
      </c>
      <c r="X126" s="31">
        <f t="shared" si="27"/>
        <v>1.8573</v>
      </c>
      <c r="Y126" s="31">
        <v>2</v>
      </c>
      <c r="Z126" s="32" t="str">
        <f t="shared" si="26"/>
        <v>Medium</v>
      </c>
    </row>
    <row r="127" spans="2:26" x14ac:dyDescent="0.2">
      <c r="B127" s="28" t="s">
        <v>537</v>
      </c>
      <c r="C127" s="28" t="s">
        <v>538</v>
      </c>
      <c r="D127" s="28" t="s">
        <v>274</v>
      </c>
      <c r="E127" s="28" t="str">
        <f>+_xlfn.XLOOKUP(D127,[1]Regiones!$B$4:$B$31,[1]Regiones!$G$4:$G$31)</f>
        <v>High</v>
      </c>
      <c r="F127" s="29">
        <f t="shared" si="14"/>
        <v>3</v>
      </c>
      <c r="G127" s="28">
        <f t="shared" si="17"/>
        <v>0.64290000000000003</v>
      </c>
      <c r="H127" s="28" t="s">
        <v>275</v>
      </c>
      <c r="I127" s="28">
        <f t="shared" si="18"/>
        <v>1</v>
      </c>
      <c r="J127" s="28">
        <f t="shared" si="19"/>
        <v>0.21429999999999999</v>
      </c>
      <c r="K127" s="28" t="s">
        <v>275</v>
      </c>
      <c r="L127" s="28">
        <f t="shared" si="20"/>
        <v>1</v>
      </c>
      <c r="M127" s="28">
        <f t="shared" si="21"/>
        <v>0.21429999999999999</v>
      </c>
      <c r="N127" s="28" t="s">
        <v>275</v>
      </c>
      <c r="O127" s="28">
        <f t="shared" si="15"/>
        <v>1</v>
      </c>
      <c r="P127" s="28">
        <f t="shared" si="22"/>
        <v>7.1400000000000005E-2</v>
      </c>
      <c r="Q127" s="28" t="s">
        <v>275</v>
      </c>
      <c r="R127" s="28">
        <f t="shared" si="16"/>
        <v>1</v>
      </c>
      <c r="S127" s="28">
        <f t="shared" si="23"/>
        <v>0.1429</v>
      </c>
      <c r="T127" s="28" t="s">
        <v>276</v>
      </c>
      <c r="U127" s="28">
        <v>1</v>
      </c>
      <c r="V127" s="28">
        <f t="shared" si="24"/>
        <v>0.1429</v>
      </c>
      <c r="W127" s="30">
        <f t="shared" si="25"/>
        <v>1.4286999999999999</v>
      </c>
      <c r="X127" s="31">
        <f t="shared" si="27"/>
        <v>1.4286999999999999</v>
      </c>
      <c r="Y127" s="31">
        <v>1</v>
      </c>
      <c r="Z127" s="32" t="str">
        <f t="shared" si="26"/>
        <v>Low</v>
      </c>
    </row>
    <row r="128" spans="2:26" x14ac:dyDescent="0.2">
      <c r="B128" s="28" t="s">
        <v>539</v>
      </c>
      <c r="C128" s="28" t="s">
        <v>540</v>
      </c>
      <c r="D128" s="28" t="s">
        <v>274</v>
      </c>
      <c r="E128" s="28" t="str">
        <f>+_xlfn.XLOOKUP(D128,[1]Regiones!$B$4:$B$31,[1]Regiones!$G$4:$G$31)</f>
        <v>High</v>
      </c>
      <c r="F128" s="29">
        <f t="shared" si="14"/>
        <v>3</v>
      </c>
      <c r="G128" s="28">
        <f t="shared" si="17"/>
        <v>0.64290000000000003</v>
      </c>
      <c r="H128" s="28" t="s">
        <v>275</v>
      </c>
      <c r="I128" s="28">
        <f t="shared" si="18"/>
        <v>1</v>
      </c>
      <c r="J128" s="28">
        <f t="shared" si="19"/>
        <v>0.21429999999999999</v>
      </c>
      <c r="K128" s="28" t="s">
        <v>275</v>
      </c>
      <c r="L128" s="28">
        <f t="shared" si="20"/>
        <v>1</v>
      </c>
      <c r="M128" s="28">
        <f t="shared" si="21"/>
        <v>0.21429999999999999</v>
      </c>
      <c r="N128" s="28" t="s">
        <v>275</v>
      </c>
      <c r="O128" s="28">
        <f t="shared" si="15"/>
        <v>1</v>
      </c>
      <c r="P128" s="28">
        <f t="shared" si="22"/>
        <v>7.1400000000000005E-2</v>
      </c>
      <c r="Q128" s="28" t="s">
        <v>275</v>
      </c>
      <c r="R128" s="28">
        <f t="shared" si="16"/>
        <v>1</v>
      </c>
      <c r="S128" s="28">
        <f t="shared" si="23"/>
        <v>0.1429</v>
      </c>
      <c r="T128" s="28" t="s">
        <v>276</v>
      </c>
      <c r="U128" s="28">
        <v>1</v>
      </c>
      <c r="V128" s="28">
        <f t="shared" si="24"/>
        <v>0.1429</v>
      </c>
      <c r="W128" s="30">
        <f t="shared" si="25"/>
        <v>1.4286999999999999</v>
      </c>
      <c r="X128" s="31">
        <f t="shared" si="27"/>
        <v>1.4286999999999999</v>
      </c>
      <c r="Y128" s="31">
        <v>1</v>
      </c>
      <c r="Z128" s="32" t="str">
        <f t="shared" si="26"/>
        <v>Low</v>
      </c>
    </row>
    <row r="129" spans="2:26" x14ac:dyDescent="0.2">
      <c r="B129" s="28" t="s">
        <v>541</v>
      </c>
      <c r="C129" s="28" t="s">
        <v>542</v>
      </c>
      <c r="D129" s="28" t="s">
        <v>358</v>
      </c>
      <c r="E129" s="28" t="str">
        <f>+_xlfn.XLOOKUP(D129,[1]Regiones!$B$4:$B$31,[1]Regiones!$G$4:$G$31)</f>
        <v>High</v>
      </c>
      <c r="F129" s="29">
        <f t="shared" si="14"/>
        <v>3</v>
      </c>
      <c r="G129" s="28">
        <f t="shared" si="17"/>
        <v>0.64290000000000003</v>
      </c>
      <c r="H129" s="28" t="s">
        <v>275</v>
      </c>
      <c r="I129" s="28">
        <f t="shared" si="18"/>
        <v>1</v>
      </c>
      <c r="J129" s="28">
        <f t="shared" si="19"/>
        <v>0.21429999999999999</v>
      </c>
      <c r="K129" s="28" t="s">
        <v>275</v>
      </c>
      <c r="L129" s="28">
        <f t="shared" si="20"/>
        <v>1</v>
      </c>
      <c r="M129" s="28">
        <f t="shared" si="21"/>
        <v>0.21429999999999999</v>
      </c>
      <c r="N129" s="28" t="s">
        <v>275</v>
      </c>
      <c r="O129" s="28">
        <f t="shared" si="15"/>
        <v>1</v>
      </c>
      <c r="P129" s="28">
        <f t="shared" si="22"/>
        <v>7.1400000000000005E-2</v>
      </c>
      <c r="Q129" s="28" t="s">
        <v>275</v>
      </c>
      <c r="R129" s="28">
        <f t="shared" si="16"/>
        <v>1</v>
      </c>
      <c r="S129" s="28">
        <f t="shared" si="23"/>
        <v>0.1429</v>
      </c>
      <c r="T129" s="28" t="s">
        <v>276</v>
      </c>
      <c r="U129" s="28">
        <v>1</v>
      </c>
      <c r="V129" s="28">
        <f t="shared" si="24"/>
        <v>0.1429</v>
      </c>
      <c r="W129" s="30">
        <f t="shared" si="25"/>
        <v>1.4286999999999999</v>
      </c>
      <c r="X129" s="31">
        <f t="shared" si="27"/>
        <v>1.4286999999999999</v>
      </c>
      <c r="Y129" s="31">
        <v>1</v>
      </c>
      <c r="Z129" s="32" t="str">
        <f t="shared" si="26"/>
        <v>Low</v>
      </c>
    </row>
    <row r="130" spans="2:26" x14ac:dyDescent="0.2">
      <c r="B130" s="28" t="s">
        <v>543</v>
      </c>
      <c r="C130" s="28" t="s">
        <v>544</v>
      </c>
      <c r="D130" s="28" t="s">
        <v>319</v>
      </c>
      <c r="E130" s="28" t="str">
        <f>+_xlfn.XLOOKUP(D130,[1]Regiones!$B$4:$B$31,[1]Regiones!$G$4:$G$31)</f>
        <v>Low</v>
      </c>
      <c r="F130" s="29">
        <f t="shared" si="14"/>
        <v>1</v>
      </c>
      <c r="G130" s="28">
        <f t="shared" si="17"/>
        <v>0.21429999999999999</v>
      </c>
      <c r="H130" s="28" t="s">
        <v>275</v>
      </c>
      <c r="I130" s="28">
        <f t="shared" si="18"/>
        <v>1</v>
      </c>
      <c r="J130" s="28">
        <f t="shared" si="19"/>
        <v>0.21429999999999999</v>
      </c>
      <c r="K130" s="28" t="s">
        <v>275</v>
      </c>
      <c r="L130" s="28">
        <f t="shared" si="20"/>
        <v>1</v>
      </c>
      <c r="M130" s="28">
        <f t="shared" si="21"/>
        <v>0.21429999999999999</v>
      </c>
      <c r="N130" s="28" t="s">
        <v>275</v>
      </c>
      <c r="O130" s="28">
        <f t="shared" si="15"/>
        <v>1</v>
      </c>
      <c r="P130" s="28">
        <f t="shared" si="22"/>
        <v>7.1400000000000005E-2</v>
      </c>
      <c r="Q130" s="28" t="s">
        <v>275</v>
      </c>
      <c r="R130" s="28">
        <f t="shared" si="16"/>
        <v>1</v>
      </c>
      <c r="S130" s="28">
        <f t="shared" si="23"/>
        <v>0.1429</v>
      </c>
      <c r="T130" s="28" t="s">
        <v>276</v>
      </c>
      <c r="U130" s="28">
        <v>1</v>
      </c>
      <c r="V130" s="28">
        <f t="shared" si="24"/>
        <v>0.1429</v>
      </c>
      <c r="W130" s="30">
        <f t="shared" si="25"/>
        <v>1.0001</v>
      </c>
      <c r="X130" s="31">
        <f t="shared" si="27"/>
        <v>1.0001</v>
      </c>
      <c r="Y130" s="31">
        <v>1</v>
      </c>
      <c r="Z130" s="32" t="str">
        <f t="shared" si="26"/>
        <v>Low</v>
      </c>
    </row>
    <row r="131" spans="2:26" x14ac:dyDescent="0.2">
      <c r="B131" s="28" t="s">
        <v>545</v>
      </c>
      <c r="C131" s="28" t="s">
        <v>546</v>
      </c>
      <c r="D131" s="28" t="s">
        <v>274</v>
      </c>
      <c r="E131" s="28" t="str">
        <f>+_xlfn.XLOOKUP(D131,[1]Regiones!$B$4:$B$31,[1]Regiones!$G$4:$G$31)</f>
        <v>High</v>
      </c>
      <c r="F131" s="29">
        <f t="shared" si="14"/>
        <v>3</v>
      </c>
      <c r="G131" s="28">
        <f t="shared" si="17"/>
        <v>0.64290000000000003</v>
      </c>
      <c r="H131" s="28" t="s">
        <v>275</v>
      </c>
      <c r="I131" s="28">
        <f t="shared" si="18"/>
        <v>1</v>
      </c>
      <c r="J131" s="28">
        <f t="shared" si="19"/>
        <v>0.21429999999999999</v>
      </c>
      <c r="K131" s="28" t="s">
        <v>275</v>
      </c>
      <c r="L131" s="28">
        <f t="shared" si="20"/>
        <v>1</v>
      </c>
      <c r="M131" s="28">
        <f t="shared" si="21"/>
        <v>0.21429999999999999</v>
      </c>
      <c r="N131" s="28" t="s">
        <v>275</v>
      </c>
      <c r="O131" s="28">
        <f t="shared" si="15"/>
        <v>1</v>
      </c>
      <c r="P131" s="28">
        <f t="shared" si="22"/>
        <v>7.1400000000000005E-2</v>
      </c>
      <c r="Q131" s="28" t="s">
        <v>275</v>
      </c>
      <c r="R131" s="28">
        <f t="shared" si="16"/>
        <v>1</v>
      </c>
      <c r="S131" s="28">
        <f t="shared" si="23"/>
        <v>0.1429</v>
      </c>
      <c r="T131" s="28" t="s">
        <v>276</v>
      </c>
      <c r="U131" s="28">
        <v>1</v>
      </c>
      <c r="V131" s="28">
        <f t="shared" si="24"/>
        <v>0.1429</v>
      </c>
      <c r="W131" s="30">
        <f t="shared" si="25"/>
        <v>1.4286999999999999</v>
      </c>
      <c r="X131" s="31">
        <f t="shared" si="27"/>
        <v>1.4286999999999999</v>
      </c>
      <c r="Y131" s="31">
        <v>1</v>
      </c>
      <c r="Z131" s="32" t="str">
        <f t="shared" si="26"/>
        <v>Low</v>
      </c>
    </row>
    <row r="132" spans="2:26" x14ac:dyDescent="0.2">
      <c r="B132" s="28" t="s">
        <v>547</v>
      </c>
      <c r="C132" s="28" t="s">
        <v>548</v>
      </c>
      <c r="D132" s="28" t="s">
        <v>549</v>
      </c>
      <c r="E132" s="28" t="str">
        <f>+_xlfn.XLOOKUP(D132,[1]Regiones!$B$4:$B$31,[1]Regiones!$G$4:$G$31)</f>
        <v>Low</v>
      </c>
      <c r="F132" s="29">
        <f t="shared" si="14"/>
        <v>1</v>
      </c>
      <c r="G132" s="28">
        <f t="shared" si="17"/>
        <v>0.21429999999999999</v>
      </c>
      <c r="H132" s="28" t="s">
        <v>275</v>
      </c>
      <c r="I132" s="28">
        <f t="shared" si="18"/>
        <v>1</v>
      </c>
      <c r="J132" s="28">
        <f t="shared" si="19"/>
        <v>0.21429999999999999</v>
      </c>
      <c r="K132" s="28" t="s">
        <v>275</v>
      </c>
      <c r="L132" s="28">
        <f t="shared" si="20"/>
        <v>1</v>
      </c>
      <c r="M132" s="28">
        <f t="shared" si="21"/>
        <v>0.21429999999999999</v>
      </c>
      <c r="N132" s="28" t="s">
        <v>275</v>
      </c>
      <c r="O132" s="28">
        <f t="shared" si="15"/>
        <v>1</v>
      </c>
      <c r="P132" s="28">
        <f t="shared" si="22"/>
        <v>7.1400000000000005E-2</v>
      </c>
      <c r="Q132" s="28" t="s">
        <v>275</v>
      </c>
      <c r="R132" s="28">
        <f t="shared" si="16"/>
        <v>1</v>
      </c>
      <c r="S132" s="28">
        <f t="shared" si="23"/>
        <v>0.1429</v>
      </c>
      <c r="T132" s="28" t="s">
        <v>276</v>
      </c>
      <c r="U132" s="28">
        <v>1</v>
      </c>
      <c r="V132" s="28">
        <f t="shared" si="24"/>
        <v>0.1429</v>
      </c>
      <c r="W132" s="30">
        <f t="shared" si="25"/>
        <v>1.0001</v>
      </c>
      <c r="X132" s="31">
        <f t="shared" si="27"/>
        <v>1.0001</v>
      </c>
      <c r="Y132" s="31">
        <v>1</v>
      </c>
      <c r="Z132" s="32" t="str">
        <f t="shared" si="26"/>
        <v>Low</v>
      </c>
    </row>
    <row r="133" spans="2:26" x14ac:dyDescent="0.2">
      <c r="B133" s="28" t="s">
        <v>550</v>
      </c>
      <c r="C133" s="28" t="s">
        <v>551</v>
      </c>
      <c r="D133" s="28" t="s">
        <v>312</v>
      </c>
      <c r="E133" s="28" t="str">
        <f>+_xlfn.XLOOKUP(D133,[1]Regiones!$B$4:$B$31,[1]Regiones!$G$4:$G$31)</f>
        <v>High</v>
      </c>
      <c r="F133" s="29">
        <f t="shared" ref="F133:F196" si="28">+_xlfn.XLOOKUP(E133,$AB$4:$AB$7,$AC$4:$AC$7)</f>
        <v>3</v>
      </c>
      <c r="G133" s="28">
        <f t="shared" si="17"/>
        <v>0.64290000000000003</v>
      </c>
      <c r="H133" s="28" t="s">
        <v>275</v>
      </c>
      <c r="I133" s="28">
        <f t="shared" si="18"/>
        <v>1</v>
      </c>
      <c r="J133" s="28">
        <f t="shared" si="19"/>
        <v>0.21429999999999999</v>
      </c>
      <c r="K133" s="28" t="s">
        <v>275</v>
      </c>
      <c r="L133" s="28">
        <f t="shared" si="20"/>
        <v>1</v>
      </c>
      <c r="M133" s="28">
        <f t="shared" si="21"/>
        <v>0.21429999999999999</v>
      </c>
      <c r="N133" s="28" t="s">
        <v>275</v>
      </c>
      <c r="O133" s="28">
        <f t="shared" ref="O133:O196" si="29">+_xlfn.XLOOKUP(N133,$AB$4:$AB$7,$AC$4:$AC$7)</f>
        <v>1</v>
      </c>
      <c r="P133" s="28">
        <f t="shared" si="22"/>
        <v>7.1400000000000005E-2</v>
      </c>
      <c r="Q133" s="28" t="s">
        <v>275</v>
      </c>
      <c r="R133" s="28">
        <f t="shared" ref="R133:R196" si="30">+_xlfn.XLOOKUP(Q133,$AB$4:$AB$7,$AC$4:$AC$7)</f>
        <v>1</v>
      </c>
      <c r="S133" s="28">
        <f t="shared" si="23"/>
        <v>0.1429</v>
      </c>
      <c r="T133" s="28" t="s">
        <v>276</v>
      </c>
      <c r="U133" s="28">
        <v>1</v>
      </c>
      <c r="V133" s="28">
        <f t="shared" si="24"/>
        <v>0.1429</v>
      </c>
      <c r="W133" s="30">
        <f t="shared" si="25"/>
        <v>1.4286999999999999</v>
      </c>
      <c r="X133" s="31">
        <f t="shared" si="27"/>
        <v>1.4286999999999999</v>
      </c>
      <c r="Y133" s="31">
        <v>1</v>
      </c>
      <c r="Z133" s="32" t="str">
        <f t="shared" si="26"/>
        <v>Low</v>
      </c>
    </row>
    <row r="134" spans="2:26" x14ac:dyDescent="0.2">
      <c r="B134" s="28" t="s">
        <v>552</v>
      </c>
      <c r="C134" s="28" t="s">
        <v>553</v>
      </c>
      <c r="D134" s="28" t="s">
        <v>274</v>
      </c>
      <c r="E134" s="28" t="str">
        <f>+_xlfn.XLOOKUP(D134,[1]Regiones!$B$4:$B$31,[1]Regiones!$G$4:$G$31)</f>
        <v>High</v>
      </c>
      <c r="F134" s="29">
        <f t="shared" si="28"/>
        <v>3</v>
      </c>
      <c r="G134" s="28">
        <f t="shared" ref="G134:G197" si="31">+F134*$G$3</f>
        <v>0.64290000000000003</v>
      </c>
      <c r="H134" s="28" t="s">
        <v>275</v>
      </c>
      <c r="I134" s="28">
        <f t="shared" ref="I134:I197" si="32">+_xlfn.XLOOKUP(H134,$AB$4:$AB$7,$AC$4:$AC$7)</f>
        <v>1</v>
      </c>
      <c r="J134" s="28">
        <f t="shared" ref="J134:J197" si="33">+I134*$J$3</f>
        <v>0.21429999999999999</v>
      </c>
      <c r="K134" s="28" t="s">
        <v>279</v>
      </c>
      <c r="L134" s="28">
        <f t="shared" ref="L134:L197" si="34">+_xlfn.XLOOKUP(K134,$AB$4:$AB$7,$AC$4:$AC$7)</f>
        <v>3</v>
      </c>
      <c r="M134" s="28">
        <f t="shared" ref="M134:M197" si="35">+L134*$M$3</f>
        <v>0.64290000000000003</v>
      </c>
      <c r="N134" s="28" t="s">
        <v>275</v>
      </c>
      <c r="O134" s="28">
        <f t="shared" si="29"/>
        <v>1</v>
      </c>
      <c r="P134" s="28">
        <f t="shared" ref="P134:P197" si="36">+O134*$P$3</f>
        <v>7.1400000000000005E-2</v>
      </c>
      <c r="Q134" s="28" t="s">
        <v>275</v>
      </c>
      <c r="R134" s="28">
        <f t="shared" si="30"/>
        <v>1</v>
      </c>
      <c r="S134" s="28">
        <f t="shared" ref="S134:S197" si="37">+R134*$S$3</f>
        <v>0.1429</v>
      </c>
      <c r="T134" s="28" t="s">
        <v>276</v>
      </c>
      <c r="U134" s="28">
        <v>1</v>
      </c>
      <c r="V134" s="28">
        <f t="shared" ref="V134:V197" si="38">+U134*$V$3</f>
        <v>0.1429</v>
      </c>
      <c r="W134" s="30">
        <f t="shared" ref="W134:W197" si="39">+G134+J134+M134+P134+S134+V134</f>
        <v>1.8573</v>
      </c>
      <c r="X134" s="31">
        <f t="shared" si="27"/>
        <v>1.8573</v>
      </c>
      <c r="Y134" s="31">
        <v>2</v>
      </c>
      <c r="Z134" s="32" t="str">
        <f t="shared" ref="Z134:Z197" si="40">+_xlfn.XLOOKUP(Y134,$AC$4:$AC$7,$AB$4:$AB$7)</f>
        <v>Medium</v>
      </c>
    </row>
    <row r="135" spans="2:26" x14ac:dyDescent="0.2">
      <c r="B135" s="28" t="s">
        <v>554</v>
      </c>
      <c r="C135" s="28" t="s">
        <v>555</v>
      </c>
      <c r="D135" s="28" t="s">
        <v>274</v>
      </c>
      <c r="E135" s="28" t="str">
        <f>+_xlfn.XLOOKUP(D135,[1]Regiones!$B$4:$B$31,[1]Regiones!$G$4:$G$31)</f>
        <v>High</v>
      </c>
      <c r="F135" s="29">
        <f t="shared" si="28"/>
        <v>3</v>
      </c>
      <c r="G135" s="28">
        <f t="shared" si="31"/>
        <v>0.64290000000000003</v>
      </c>
      <c r="H135" s="28" t="s">
        <v>275</v>
      </c>
      <c r="I135" s="28">
        <f t="shared" si="32"/>
        <v>1</v>
      </c>
      <c r="J135" s="28">
        <f t="shared" si="33"/>
        <v>0.21429999999999999</v>
      </c>
      <c r="K135" s="28" t="s">
        <v>275</v>
      </c>
      <c r="L135" s="28">
        <f t="shared" si="34"/>
        <v>1</v>
      </c>
      <c r="M135" s="28">
        <f t="shared" si="35"/>
        <v>0.21429999999999999</v>
      </c>
      <c r="N135" s="28" t="s">
        <v>275</v>
      </c>
      <c r="O135" s="28">
        <f t="shared" si="29"/>
        <v>1</v>
      </c>
      <c r="P135" s="28">
        <f t="shared" si="36"/>
        <v>7.1400000000000005E-2</v>
      </c>
      <c r="Q135" s="28" t="s">
        <v>275</v>
      </c>
      <c r="R135" s="28">
        <f t="shared" si="30"/>
        <v>1</v>
      </c>
      <c r="S135" s="28">
        <f t="shared" si="37"/>
        <v>0.1429</v>
      </c>
      <c r="T135" s="28" t="s">
        <v>276</v>
      </c>
      <c r="U135" s="28">
        <v>1</v>
      </c>
      <c r="V135" s="28">
        <f t="shared" si="38"/>
        <v>0.1429</v>
      </c>
      <c r="W135" s="30">
        <f t="shared" si="39"/>
        <v>1.4286999999999999</v>
      </c>
      <c r="X135" s="31">
        <f t="shared" ref="X135:X198" si="41">+AVERAGE(W135)</f>
        <v>1.4286999999999999</v>
      </c>
      <c r="Y135" s="31">
        <v>1</v>
      </c>
      <c r="Z135" s="32" t="str">
        <f t="shared" si="40"/>
        <v>Low</v>
      </c>
    </row>
    <row r="136" spans="2:26" x14ac:dyDescent="0.2">
      <c r="B136" s="28" t="s">
        <v>556</v>
      </c>
      <c r="C136" s="28" t="s">
        <v>557</v>
      </c>
      <c r="D136" s="28" t="s">
        <v>558</v>
      </c>
      <c r="E136" s="28" t="str">
        <f>+_xlfn.XLOOKUP(D136,[1]Regiones!$B$4:$B$31,[1]Regiones!$G$4:$G$31)</f>
        <v>Low</v>
      </c>
      <c r="F136" s="29">
        <f t="shared" si="28"/>
        <v>1</v>
      </c>
      <c r="G136" s="28">
        <f t="shared" si="31"/>
        <v>0.21429999999999999</v>
      </c>
      <c r="H136" s="28" t="s">
        <v>275</v>
      </c>
      <c r="I136" s="28">
        <f t="shared" si="32"/>
        <v>1</v>
      </c>
      <c r="J136" s="28">
        <f t="shared" si="33"/>
        <v>0.21429999999999999</v>
      </c>
      <c r="K136" s="28" t="s">
        <v>275</v>
      </c>
      <c r="L136" s="28">
        <f t="shared" si="34"/>
        <v>1</v>
      </c>
      <c r="M136" s="28">
        <f t="shared" si="35"/>
        <v>0.21429999999999999</v>
      </c>
      <c r="N136" s="28" t="s">
        <v>275</v>
      </c>
      <c r="O136" s="28">
        <f t="shared" si="29"/>
        <v>1</v>
      </c>
      <c r="P136" s="28">
        <f t="shared" si="36"/>
        <v>7.1400000000000005E-2</v>
      </c>
      <c r="Q136" s="28" t="s">
        <v>275</v>
      </c>
      <c r="R136" s="28">
        <f t="shared" si="30"/>
        <v>1</v>
      </c>
      <c r="S136" s="28">
        <f t="shared" si="37"/>
        <v>0.1429</v>
      </c>
      <c r="T136" s="28" t="s">
        <v>276</v>
      </c>
      <c r="U136" s="28">
        <v>1</v>
      </c>
      <c r="V136" s="28">
        <f t="shared" si="38"/>
        <v>0.1429</v>
      </c>
      <c r="W136" s="30">
        <f t="shared" si="39"/>
        <v>1.0001</v>
      </c>
      <c r="X136" s="31">
        <f t="shared" si="41"/>
        <v>1.0001</v>
      </c>
      <c r="Y136" s="31">
        <v>1</v>
      </c>
      <c r="Z136" s="32" t="str">
        <f t="shared" si="40"/>
        <v>Low</v>
      </c>
    </row>
    <row r="137" spans="2:26" x14ac:dyDescent="0.2">
      <c r="B137" s="28" t="s">
        <v>559</v>
      </c>
      <c r="C137" s="28" t="s">
        <v>560</v>
      </c>
      <c r="D137" s="28" t="s">
        <v>274</v>
      </c>
      <c r="E137" s="28" t="str">
        <f>+_xlfn.XLOOKUP(D137,[1]Regiones!$B$4:$B$31,[1]Regiones!$G$4:$G$31)</f>
        <v>High</v>
      </c>
      <c r="F137" s="29">
        <f t="shared" si="28"/>
        <v>3</v>
      </c>
      <c r="G137" s="28">
        <f t="shared" si="31"/>
        <v>0.64290000000000003</v>
      </c>
      <c r="H137" s="28" t="s">
        <v>275</v>
      </c>
      <c r="I137" s="28">
        <f t="shared" si="32"/>
        <v>1</v>
      </c>
      <c r="J137" s="28">
        <f t="shared" si="33"/>
        <v>0.21429999999999999</v>
      </c>
      <c r="K137" s="28" t="s">
        <v>275</v>
      </c>
      <c r="L137" s="28">
        <f t="shared" si="34"/>
        <v>1</v>
      </c>
      <c r="M137" s="28">
        <f t="shared" si="35"/>
        <v>0.21429999999999999</v>
      </c>
      <c r="N137" s="28" t="s">
        <v>279</v>
      </c>
      <c r="O137" s="28">
        <f t="shared" si="29"/>
        <v>3</v>
      </c>
      <c r="P137" s="28">
        <f t="shared" si="36"/>
        <v>0.2142</v>
      </c>
      <c r="Q137" s="28" t="s">
        <v>275</v>
      </c>
      <c r="R137" s="28">
        <f t="shared" si="30"/>
        <v>1</v>
      </c>
      <c r="S137" s="28">
        <f t="shared" si="37"/>
        <v>0.1429</v>
      </c>
      <c r="T137" s="28" t="s">
        <v>276</v>
      </c>
      <c r="U137" s="28">
        <v>1</v>
      </c>
      <c r="V137" s="28">
        <f t="shared" si="38"/>
        <v>0.1429</v>
      </c>
      <c r="W137" s="30">
        <f t="shared" si="39"/>
        <v>1.5714999999999999</v>
      </c>
      <c r="X137" s="31">
        <f t="shared" si="41"/>
        <v>1.5714999999999999</v>
      </c>
      <c r="Y137" s="31">
        <v>2</v>
      </c>
      <c r="Z137" s="32" t="str">
        <f t="shared" si="40"/>
        <v>Medium</v>
      </c>
    </row>
    <row r="138" spans="2:26" x14ac:dyDescent="0.2">
      <c r="B138" s="28" t="s">
        <v>561</v>
      </c>
      <c r="C138" s="28" t="s">
        <v>562</v>
      </c>
      <c r="D138" s="28" t="s">
        <v>274</v>
      </c>
      <c r="E138" s="28" t="str">
        <f>+_xlfn.XLOOKUP(D138,[1]Regiones!$B$4:$B$31,[1]Regiones!$G$4:$G$31)</f>
        <v>High</v>
      </c>
      <c r="F138" s="29">
        <f t="shared" si="28"/>
        <v>3</v>
      </c>
      <c r="G138" s="28">
        <f t="shared" si="31"/>
        <v>0.64290000000000003</v>
      </c>
      <c r="H138" s="28" t="s">
        <v>275</v>
      </c>
      <c r="I138" s="28">
        <f t="shared" si="32"/>
        <v>1</v>
      </c>
      <c r="J138" s="28">
        <f t="shared" si="33"/>
        <v>0.21429999999999999</v>
      </c>
      <c r="K138" s="28" t="s">
        <v>275</v>
      </c>
      <c r="L138" s="28">
        <f t="shared" si="34"/>
        <v>1</v>
      </c>
      <c r="M138" s="28">
        <f t="shared" si="35"/>
        <v>0.21429999999999999</v>
      </c>
      <c r="N138" s="28" t="s">
        <v>279</v>
      </c>
      <c r="O138" s="28">
        <f t="shared" si="29"/>
        <v>3</v>
      </c>
      <c r="P138" s="28">
        <f t="shared" si="36"/>
        <v>0.2142</v>
      </c>
      <c r="Q138" s="28" t="s">
        <v>279</v>
      </c>
      <c r="R138" s="28">
        <f t="shared" si="30"/>
        <v>3</v>
      </c>
      <c r="S138" s="28">
        <f t="shared" si="37"/>
        <v>0.42869999999999997</v>
      </c>
      <c r="T138" s="28" t="s">
        <v>276</v>
      </c>
      <c r="U138" s="28">
        <v>1</v>
      </c>
      <c r="V138" s="28">
        <f t="shared" si="38"/>
        <v>0.1429</v>
      </c>
      <c r="W138" s="30">
        <f t="shared" si="39"/>
        <v>1.8573</v>
      </c>
      <c r="X138" s="31">
        <f t="shared" si="41"/>
        <v>1.8573</v>
      </c>
      <c r="Y138" s="31">
        <v>2</v>
      </c>
      <c r="Z138" s="32" t="str">
        <f t="shared" si="40"/>
        <v>Medium</v>
      </c>
    </row>
    <row r="139" spans="2:26" x14ac:dyDescent="0.2">
      <c r="B139" s="28" t="s">
        <v>563</v>
      </c>
      <c r="C139" s="28" t="s">
        <v>564</v>
      </c>
      <c r="D139" s="28" t="s">
        <v>558</v>
      </c>
      <c r="E139" s="28" t="str">
        <f>+_xlfn.XLOOKUP(D139,[1]Regiones!$B$4:$B$31,[1]Regiones!$G$4:$G$31)</f>
        <v>Low</v>
      </c>
      <c r="F139" s="29">
        <f t="shared" si="28"/>
        <v>1</v>
      </c>
      <c r="G139" s="28">
        <f t="shared" si="31"/>
        <v>0.21429999999999999</v>
      </c>
      <c r="H139" s="28" t="s">
        <v>275</v>
      </c>
      <c r="I139" s="28">
        <f t="shared" si="32"/>
        <v>1</v>
      </c>
      <c r="J139" s="28">
        <f t="shared" si="33"/>
        <v>0.21429999999999999</v>
      </c>
      <c r="K139" s="28" t="s">
        <v>275</v>
      </c>
      <c r="L139" s="28">
        <f t="shared" si="34"/>
        <v>1</v>
      </c>
      <c r="M139" s="28">
        <f t="shared" si="35"/>
        <v>0.21429999999999999</v>
      </c>
      <c r="N139" s="28" t="s">
        <v>275</v>
      </c>
      <c r="O139" s="28">
        <f t="shared" si="29"/>
        <v>1</v>
      </c>
      <c r="P139" s="28">
        <f t="shared" si="36"/>
        <v>7.1400000000000005E-2</v>
      </c>
      <c r="Q139" s="28" t="s">
        <v>275</v>
      </c>
      <c r="R139" s="28">
        <f t="shared" si="30"/>
        <v>1</v>
      </c>
      <c r="S139" s="28">
        <f t="shared" si="37"/>
        <v>0.1429</v>
      </c>
      <c r="T139" s="28" t="s">
        <v>276</v>
      </c>
      <c r="U139" s="28">
        <v>1</v>
      </c>
      <c r="V139" s="28">
        <f t="shared" si="38"/>
        <v>0.1429</v>
      </c>
      <c r="W139" s="30">
        <f t="shared" si="39"/>
        <v>1.0001</v>
      </c>
      <c r="X139" s="31">
        <f t="shared" si="41"/>
        <v>1.0001</v>
      </c>
      <c r="Y139" s="31">
        <v>1</v>
      </c>
      <c r="Z139" s="32" t="str">
        <f t="shared" si="40"/>
        <v>Low</v>
      </c>
    </row>
    <row r="140" spans="2:26" x14ac:dyDescent="0.2">
      <c r="B140" s="28" t="s">
        <v>565</v>
      </c>
      <c r="C140" s="28" t="s">
        <v>566</v>
      </c>
      <c r="D140" s="28" t="s">
        <v>293</v>
      </c>
      <c r="E140" s="28" t="str">
        <f>+_xlfn.XLOOKUP(D140,[1]Regiones!$B$4:$B$31,[1]Regiones!$G$4:$G$31)</f>
        <v>High</v>
      </c>
      <c r="F140" s="29">
        <f t="shared" si="28"/>
        <v>3</v>
      </c>
      <c r="G140" s="28">
        <f t="shared" si="31"/>
        <v>0.64290000000000003</v>
      </c>
      <c r="H140" s="28" t="s">
        <v>275</v>
      </c>
      <c r="I140" s="28">
        <f t="shared" si="32"/>
        <v>1</v>
      </c>
      <c r="J140" s="28">
        <f t="shared" si="33"/>
        <v>0.21429999999999999</v>
      </c>
      <c r="K140" s="28" t="s">
        <v>279</v>
      </c>
      <c r="L140" s="28">
        <f t="shared" si="34"/>
        <v>3</v>
      </c>
      <c r="M140" s="28">
        <f t="shared" si="35"/>
        <v>0.64290000000000003</v>
      </c>
      <c r="N140" s="28" t="s">
        <v>275</v>
      </c>
      <c r="O140" s="28">
        <f t="shared" si="29"/>
        <v>1</v>
      </c>
      <c r="P140" s="28">
        <f t="shared" si="36"/>
        <v>7.1400000000000005E-2</v>
      </c>
      <c r="Q140" s="28" t="s">
        <v>275</v>
      </c>
      <c r="R140" s="28">
        <f t="shared" si="30"/>
        <v>1</v>
      </c>
      <c r="S140" s="28">
        <f t="shared" si="37"/>
        <v>0.1429</v>
      </c>
      <c r="T140" s="28" t="s">
        <v>276</v>
      </c>
      <c r="U140" s="28">
        <v>1</v>
      </c>
      <c r="V140" s="28">
        <f t="shared" si="38"/>
        <v>0.1429</v>
      </c>
      <c r="W140" s="30">
        <f t="shared" si="39"/>
        <v>1.8573</v>
      </c>
      <c r="X140" s="31">
        <f t="shared" si="41"/>
        <v>1.8573</v>
      </c>
      <c r="Y140" s="31">
        <v>2</v>
      </c>
      <c r="Z140" s="32" t="str">
        <f t="shared" si="40"/>
        <v>Medium</v>
      </c>
    </row>
    <row r="141" spans="2:26" x14ac:dyDescent="0.2">
      <c r="B141" s="28" t="s">
        <v>567</v>
      </c>
      <c r="C141" s="28" t="s">
        <v>568</v>
      </c>
      <c r="D141" s="28" t="s">
        <v>274</v>
      </c>
      <c r="E141" s="28" t="str">
        <f>+_xlfn.XLOOKUP(D141,[1]Regiones!$B$4:$B$31,[1]Regiones!$G$4:$G$31)</f>
        <v>High</v>
      </c>
      <c r="F141" s="29">
        <f t="shared" si="28"/>
        <v>3</v>
      </c>
      <c r="G141" s="28">
        <f t="shared" si="31"/>
        <v>0.64290000000000003</v>
      </c>
      <c r="H141" s="28" t="s">
        <v>275</v>
      </c>
      <c r="I141" s="28">
        <f t="shared" si="32"/>
        <v>1</v>
      </c>
      <c r="J141" s="28">
        <f t="shared" si="33"/>
        <v>0.21429999999999999</v>
      </c>
      <c r="K141" s="28" t="s">
        <v>275</v>
      </c>
      <c r="L141" s="28">
        <f t="shared" si="34"/>
        <v>1</v>
      </c>
      <c r="M141" s="28">
        <f t="shared" si="35"/>
        <v>0.21429999999999999</v>
      </c>
      <c r="N141" s="28" t="s">
        <v>279</v>
      </c>
      <c r="O141" s="28">
        <f t="shared" si="29"/>
        <v>3</v>
      </c>
      <c r="P141" s="28">
        <f t="shared" si="36"/>
        <v>0.2142</v>
      </c>
      <c r="Q141" s="28" t="s">
        <v>279</v>
      </c>
      <c r="R141" s="28">
        <f t="shared" si="30"/>
        <v>3</v>
      </c>
      <c r="S141" s="28">
        <f t="shared" si="37"/>
        <v>0.42869999999999997</v>
      </c>
      <c r="T141" s="28" t="s">
        <v>276</v>
      </c>
      <c r="U141" s="28">
        <v>1</v>
      </c>
      <c r="V141" s="28">
        <f t="shared" si="38"/>
        <v>0.1429</v>
      </c>
      <c r="W141" s="30">
        <f t="shared" si="39"/>
        <v>1.8573</v>
      </c>
      <c r="X141" s="31">
        <f t="shared" si="41"/>
        <v>1.8573</v>
      </c>
      <c r="Y141" s="31">
        <v>2</v>
      </c>
      <c r="Z141" s="32" t="str">
        <f t="shared" si="40"/>
        <v>Medium</v>
      </c>
    </row>
    <row r="142" spans="2:26" x14ac:dyDescent="0.2">
      <c r="B142" s="28" t="s">
        <v>569</v>
      </c>
      <c r="C142" s="28" t="s">
        <v>570</v>
      </c>
      <c r="D142" s="28" t="s">
        <v>274</v>
      </c>
      <c r="E142" s="28" t="str">
        <f>+_xlfn.XLOOKUP(D142,[1]Regiones!$B$4:$B$31,[1]Regiones!$G$4:$G$31)</f>
        <v>High</v>
      </c>
      <c r="F142" s="29">
        <f t="shared" si="28"/>
        <v>3</v>
      </c>
      <c r="G142" s="28">
        <f t="shared" si="31"/>
        <v>0.64290000000000003</v>
      </c>
      <c r="H142" s="28" t="s">
        <v>275</v>
      </c>
      <c r="I142" s="28">
        <f t="shared" si="32"/>
        <v>1</v>
      </c>
      <c r="J142" s="28">
        <f t="shared" si="33"/>
        <v>0.21429999999999999</v>
      </c>
      <c r="K142" s="28" t="s">
        <v>275</v>
      </c>
      <c r="L142" s="28">
        <f t="shared" si="34"/>
        <v>1</v>
      </c>
      <c r="M142" s="28">
        <f t="shared" si="35"/>
        <v>0.21429999999999999</v>
      </c>
      <c r="N142" s="28" t="s">
        <v>275</v>
      </c>
      <c r="O142" s="28">
        <f t="shared" si="29"/>
        <v>1</v>
      </c>
      <c r="P142" s="28">
        <f t="shared" si="36"/>
        <v>7.1400000000000005E-2</v>
      </c>
      <c r="Q142" s="28" t="s">
        <v>275</v>
      </c>
      <c r="R142" s="28">
        <f t="shared" si="30"/>
        <v>1</v>
      </c>
      <c r="S142" s="28">
        <f t="shared" si="37"/>
        <v>0.1429</v>
      </c>
      <c r="T142" s="28" t="s">
        <v>276</v>
      </c>
      <c r="U142" s="28">
        <v>1</v>
      </c>
      <c r="V142" s="28">
        <f t="shared" si="38"/>
        <v>0.1429</v>
      </c>
      <c r="W142" s="30">
        <f t="shared" si="39"/>
        <v>1.4286999999999999</v>
      </c>
      <c r="X142" s="31">
        <f t="shared" si="41"/>
        <v>1.4286999999999999</v>
      </c>
      <c r="Y142" s="31">
        <v>1</v>
      </c>
      <c r="Z142" s="32" t="str">
        <f t="shared" si="40"/>
        <v>Low</v>
      </c>
    </row>
    <row r="143" spans="2:26" x14ac:dyDescent="0.2">
      <c r="B143" s="28" t="s">
        <v>571</v>
      </c>
      <c r="C143" s="28" t="s">
        <v>572</v>
      </c>
      <c r="D143" s="28" t="s">
        <v>328</v>
      </c>
      <c r="E143" s="28" t="str">
        <f>+_xlfn.XLOOKUP(D143,[1]Regiones!$B$4:$B$31,[1]Regiones!$G$4:$G$31)</f>
        <v>High</v>
      </c>
      <c r="F143" s="29">
        <f t="shared" si="28"/>
        <v>3</v>
      </c>
      <c r="G143" s="28">
        <f t="shared" si="31"/>
        <v>0.64290000000000003</v>
      </c>
      <c r="H143" s="28" t="s">
        <v>275</v>
      </c>
      <c r="I143" s="28">
        <f t="shared" si="32"/>
        <v>1</v>
      </c>
      <c r="J143" s="28">
        <f t="shared" si="33"/>
        <v>0.21429999999999999</v>
      </c>
      <c r="K143" s="28" t="s">
        <v>275</v>
      </c>
      <c r="L143" s="28">
        <f t="shared" si="34"/>
        <v>1</v>
      </c>
      <c r="M143" s="28">
        <f t="shared" si="35"/>
        <v>0.21429999999999999</v>
      </c>
      <c r="N143" s="28" t="s">
        <v>275</v>
      </c>
      <c r="O143" s="28">
        <f t="shared" si="29"/>
        <v>1</v>
      </c>
      <c r="P143" s="28">
        <f t="shared" si="36"/>
        <v>7.1400000000000005E-2</v>
      </c>
      <c r="Q143" s="28" t="s">
        <v>275</v>
      </c>
      <c r="R143" s="28">
        <f t="shared" si="30"/>
        <v>1</v>
      </c>
      <c r="S143" s="28">
        <f t="shared" si="37"/>
        <v>0.1429</v>
      </c>
      <c r="T143" s="28" t="s">
        <v>276</v>
      </c>
      <c r="U143" s="28">
        <v>1</v>
      </c>
      <c r="V143" s="28">
        <f t="shared" si="38"/>
        <v>0.1429</v>
      </c>
      <c r="W143" s="30">
        <f t="shared" si="39"/>
        <v>1.4286999999999999</v>
      </c>
      <c r="X143" s="31">
        <f t="shared" si="41"/>
        <v>1.4286999999999999</v>
      </c>
      <c r="Y143" s="31">
        <v>1</v>
      </c>
      <c r="Z143" s="32" t="str">
        <f t="shared" si="40"/>
        <v>Low</v>
      </c>
    </row>
    <row r="144" spans="2:26" x14ac:dyDescent="0.2">
      <c r="B144" s="28" t="s">
        <v>573</v>
      </c>
      <c r="C144" s="28" t="s">
        <v>574</v>
      </c>
      <c r="D144" s="28" t="s">
        <v>558</v>
      </c>
      <c r="E144" s="28" t="str">
        <f>+_xlfn.XLOOKUP(D144,[1]Regiones!$B$4:$B$31,[1]Regiones!$G$4:$G$31)</f>
        <v>Low</v>
      </c>
      <c r="F144" s="29">
        <f t="shared" si="28"/>
        <v>1</v>
      </c>
      <c r="G144" s="28">
        <f t="shared" si="31"/>
        <v>0.21429999999999999</v>
      </c>
      <c r="H144" s="28" t="s">
        <v>275</v>
      </c>
      <c r="I144" s="28">
        <f t="shared" si="32"/>
        <v>1</v>
      </c>
      <c r="J144" s="28">
        <f t="shared" si="33"/>
        <v>0.21429999999999999</v>
      </c>
      <c r="K144" s="28" t="s">
        <v>275</v>
      </c>
      <c r="L144" s="28">
        <f t="shared" si="34"/>
        <v>1</v>
      </c>
      <c r="M144" s="28">
        <f t="shared" si="35"/>
        <v>0.21429999999999999</v>
      </c>
      <c r="N144" s="28" t="s">
        <v>275</v>
      </c>
      <c r="O144" s="28">
        <f t="shared" si="29"/>
        <v>1</v>
      </c>
      <c r="P144" s="28">
        <f t="shared" si="36"/>
        <v>7.1400000000000005E-2</v>
      </c>
      <c r="Q144" s="28" t="s">
        <v>275</v>
      </c>
      <c r="R144" s="28">
        <f t="shared" si="30"/>
        <v>1</v>
      </c>
      <c r="S144" s="28">
        <f t="shared" si="37"/>
        <v>0.1429</v>
      </c>
      <c r="T144" s="28" t="s">
        <v>276</v>
      </c>
      <c r="U144" s="28">
        <v>1</v>
      </c>
      <c r="V144" s="28">
        <f t="shared" si="38"/>
        <v>0.1429</v>
      </c>
      <c r="W144" s="30">
        <f t="shared" si="39"/>
        <v>1.0001</v>
      </c>
      <c r="X144" s="31">
        <f t="shared" si="41"/>
        <v>1.0001</v>
      </c>
      <c r="Y144" s="31">
        <v>1</v>
      </c>
      <c r="Z144" s="32" t="str">
        <f t="shared" si="40"/>
        <v>Low</v>
      </c>
    </row>
    <row r="145" spans="2:26" x14ac:dyDescent="0.2">
      <c r="B145" s="28" t="s">
        <v>575</v>
      </c>
      <c r="C145" s="28" t="s">
        <v>576</v>
      </c>
      <c r="D145" s="28" t="s">
        <v>274</v>
      </c>
      <c r="E145" s="28" t="str">
        <f>+_xlfn.XLOOKUP(D145,[1]Regiones!$B$4:$B$31,[1]Regiones!$G$4:$G$31)</f>
        <v>High</v>
      </c>
      <c r="F145" s="29">
        <f t="shared" si="28"/>
        <v>3</v>
      </c>
      <c r="G145" s="28">
        <f t="shared" si="31"/>
        <v>0.64290000000000003</v>
      </c>
      <c r="H145" s="28" t="s">
        <v>275</v>
      </c>
      <c r="I145" s="28">
        <f t="shared" si="32"/>
        <v>1</v>
      </c>
      <c r="J145" s="28">
        <f t="shared" si="33"/>
        <v>0.21429999999999999</v>
      </c>
      <c r="K145" s="28" t="s">
        <v>275</v>
      </c>
      <c r="L145" s="28">
        <f t="shared" si="34"/>
        <v>1</v>
      </c>
      <c r="M145" s="28">
        <f t="shared" si="35"/>
        <v>0.21429999999999999</v>
      </c>
      <c r="N145" s="28" t="s">
        <v>279</v>
      </c>
      <c r="O145" s="28">
        <f t="shared" si="29"/>
        <v>3</v>
      </c>
      <c r="P145" s="28">
        <f t="shared" si="36"/>
        <v>0.2142</v>
      </c>
      <c r="Q145" s="28" t="s">
        <v>279</v>
      </c>
      <c r="R145" s="28">
        <f t="shared" si="30"/>
        <v>3</v>
      </c>
      <c r="S145" s="28">
        <f t="shared" si="37"/>
        <v>0.42869999999999997</v>
      </c>
      <c r="T145" s="28" t="s">
        <v>276</v>
      </c>
      <c r="U145" s="28">
        <v>1</v>
      </c>
      <c r="V145" s="28">
        <f t="shared" si="38"/>
        <v>0.1429</v>
      </c>
      <c r="W145" s="30">
        <f t="shared" si="39"/>
        <v>1.8573</v>
      </c>
      <c r="X145" s="31">
        <f t="shared" si="41"/>
        <v>1.8573</v>
      </c>
      <c r="Y145" s="31">
        <v>2</v>
      </c>
      <c r="Z145" s="32" t="str">
        <f t="shared" si="40"/>
        <v>Medium</v>
      </c>
    </row>
    <row r="146" spans="2:26" x14ac:dyDescent="0.2">
      <c r="B146" s="28" t="s">
        <v>577</v>
      </c>
      <c r="C146" s="28" t="s">
        <v>578</v>
      </c>
      <c r="D146" s="28" t="s">
        <v>274</v>
      </c>
      <c r="E146" s="28" t="str">
        <f>+_xlfn.XLOOKUP(D146,[1]Regiones!$B$4:$B$31,[1]Regiones!$G$4:$G$31)</f>
        <v>High</v>
      </c>
      <c r="F146" s="29">
        <f t="shared" si="28"/>
        <v>3</v>
      </c>
      <c r="G146" s="28">
        <f t="shared" si="31"/>
        <v>0.64290000000000003</v>
      </c>
      <c r="H146" s="28" t="s">
        <v>275</v>
      </c>
      <c r="I146" s="28">
        <f t="shared" si="32"/>
        <v>1</v>
      </c>
      <c r="J146" s="28">
        <f t="shared" si="33"/>
        <v>0.21429999999999999</v>
      </c>
      <c r="K146" s="28" t="s">
        <v>275</v>
      </c>
      <c r="L146" s="28">
        <f t="shared" si="34"/>
        <v>1</v>
      </c>
      <c r="M146" s="28">
        <f t="shared" si="35"/>
        <v>0.21429999999999999</v>
      </c>
      <c r="N146" s="28" t="s">
        <v>275</v>
      </c>
      <c r="O146" s="28">
        <f t="shared" si="29"/>
        <v>1</v>
      </c>
      <c r="P146" s="28">
        <f t="shared" si="36"/>
        <v>7.1400000000000005E-2</v>
      </c>
      <c r="Q146" s="28" t="s">
        <v>275</v>
      </c>
      <c r="R146" s="28">
        <f t="shared" si="30"/>
        <v>1</v>
      </c>
      <c r="S146" s="28">
        <f t="shared" si="37"/>
        <v>0.1429</v>
      </c>
      <c r="T146" s="28" t="s">
        <v>276</v>
      </c>
      <c r="U146" s="28">
        <v>1</v>
      </c>
      <c r="V146" s="28">
        <f t="shared" si="38"/>
        <v>0.1429</v>
      </c>
      <c r="W146" s="30">
        <f t="shared" si="39"/>
        <v>1.4286999999999999</v>
      </c>
      <c r="X146" s="31">
        <f t="shared" si="41"/>
        <v>1.4286999999999999</v>
      </c>
      <c r="Y146" s="31">
        <v>1</v>
      </c>
      <c r="Z146" s="32" t="str">
        <f t="shared" si="40"/>
        <v>Low</v>
      </c>
    </row>
    <row r="147" spans="2:26" x14ac:dyDescent="0.2">
      <c r="B147" s="28" t="s">
        <v>579</v>
      </c>
      <c r="C147" s="28" t="s">
        <v>580</v>
      </c>
      <c r="D147" s="28" t="s">
        <v>274</v>
      </c>
      <c r="E147" s="28" t="str">
        <f>+_xlfn.XLOOKUP(D147,[1]Regiones!$B$4:$B$31,[1]Regiones!$G$4:$G$31)</f>
        <v>High</v>
      </c>
      <c r="F147" s="29">
        <f t="shared" si="28"/>
        <v>3</v>
      </c>
      <c r="G147" s="28">
        <f t="shared" si="31"/>
        <v>0.64290000000000003</v>
      </c>
      <c r="H147" s="28" t="s">
        <v>275</v>
      </c>
      <c r="I147" s="28">
        <f t="shared" si="32"/>
        <v>1</v>
      </c>
      <c r="J147" s="28">
        <f t="shared" si="33"/>
        <v>0.21429999999999999</v>
      </c>
      <c r="K147" s="28" t="s">
        <v>275</v>
      </c>
      <c r="L147" s="28">
        <f t="shared" si="34"/>
        <v>1</v>
      </c>
      <c r="M147" s="28">
        <f t="shared" si="35"/>
        <v>0.21429999999999999</v>
      </c>
      <c r="N147" s="28" t="s">
        <v>275</v>
      </c>
      <c r="O147" s="28">
        <f t="shared" si="29"/>
        <v>1</v>
      </c>
      <c r="P147" s="28">
        <f t="shared" si="36"/>
        <v>7.1400000000000005E-2</v>
      </c>
      <c r="Q147" s="28" t="s">
        <v>275</v>
      </c>
      <c r="R147" s="28">
        <f t="shared" si="30"/>
        <v>1</v>
      </c>
      <c r="S147" s="28">
        <f t="shared" si="37"/>
        <v>0.1429</v>
      </c>
      <c r="T147" s="28" t="s">
        <v>276</v>
      </c>
      <c r="U147" s="28">
        <v>1</v>
      </c>
      <c r="V147" s="28">
        <f t="shared" si="38"/>
        <v>0.1429</v>
      </c>
      <c r="W147" s="30">
        <f t="shared" si="39"/>
        <v>1.4286999999999999</v>
      </c>
      <c r="X147" s="31">
        <f t="shared" si="41"/>
        <v>1.4286999999999999</v>
      </c>
      <c r="Y147" s="31">
        <v>1</v>
      </c>
      <c r="Z147" s="32" t="str">
        <f t="shared" si="40"/>
        <v>Low</v>
      </c>
    </row>
    <row r="148" spans="2:26" x14ac:dyDescent="0.2">
      <c r="B148" s="28" t="s">
        <v>581</v>
      </c>
      <c r="C148" s="28" t="s">
        <v>582</v>
      </c>
      <c r="D148" s="28" t="s">
        <v>387</v>
      </c>
      <c r="E148" s="28" t="str">
        <f>+_xlfn.XLOOKUP(D148,[1]Regiones!$B$4:$B$31,[1]Regiones!$G$4:$G$31)</f>
        <v>High</v>
      </c>
      <c r="F148" s="29">
        <f t="shared" si="28"/>
        <v>3</v>
      </c>
      <c r="G148" s="28">
        <f t="shared" si="31"/>
        <v>0.64290000000000003</v>
      </c>
      <c r="H148" s="28" t="s">
        <v>275</v>
      </c>
      <c r="I148" s="28">
        <f t="shared" si="32"/>
        <v>1</v>
      </c>
      <c r="J148" s="28">
        <f t="shared" si="33"/>
        <v>0.21429999999999999</v>
      </c>
      <c r="K148" s="28" t="s">
        <v>275</v>
      </c>
      <c r="L148" s="28">
        <f t="shared" si="34"/>
        <v>1</v>
      </c>
      <c r="M148" s="28">
        <f t="shared" si="35"/>
        <v>0.21429999999999999</v>
      </c>
      <c r="N148" s="28" t="s">
        <v>275</v>
      </c>
      <c r="O148" s="28">
        <f t="shared" si="29"/>
        <v>1</v>
      </c>
      <c r="P148" s="28">
        <f t="shared" si="36"/>
        <v>7.1400000000000005E-2</v>
      </c>
      <c r="Q148" s="28" t="s">
        <v>275</v>
      </c>
      <c r="R148" s="28">
        <f t="shared" si="30"/>
        <v>1</v>
      </c>
      <c r="S148" s="28">
        <f t="shared" si="37"/>
        <v>0.1429</v>
      </c>
      <c r="T148" s="28" t="s">
        <v>276</v>
      </c>
      <c r="U148" s="28">
        <v>1</v>
      </c>
      <c r="V148" s="28">
        <f t="shared" si="38"/>
        <v>0.1429</v>
      </c>
      <c r="W148" s="30">
        <f t="shared" si="39"/>
        <v>1.4286999999999999</v>
      </c>
      <c r="X148" s="31">
        <f t="shared" si="41"/>
        <v>1.4286999999999999</v>
      </c>
      <c r="Y148" s="31">
        <v>1</v>
      </c>
      <c r="Z148" s="32" t="str">
        <f t="shared" si="40"/>
        <v>Low</v>
      </c>
    </row>
    <row r="149" spans="2:26" x14ac:dyDescent="0.2">
      <c r="B149" s="28" t="s">
        <v>583</v>
      </c>
      <c r="C149" s="28" t="s">
        <v>584</v>
      </c>
      <c r="D149" s="28" t="s">
        <v>274</v>
      </c>
      <c r="E149" s="28" t="str">
        <f>+_xlfn.XLOOKUP(D149,[1]Regiones!$B$4:$B$31,[1]Regiones!$G$4:$G$31)</f>
        <v>High</v>
      </c>
      <c r="F149" s="29">
        <f t="shared" si="28"/>
        <v>3</v>
      </c>
      <c r="G149" s="28">
        <f t="shared" si="31"/>
        <v>0.64290000000000003</v>
      </c>
      <c r="H149" s="28" t="s">
        <v>275</v>
      </c>
      <c r="I149" s="28">
        <f t="shared" si="32"/>
        <v>1</v>
      </c>
      <c r="J149" s="28">
        <f t="shared" si="33"/>
        <v>0.21429999999999999</v>
      </c>
      <c r="K149" s="28" t="s">
        <v>275</v>
      </c>
      <c r="L149" s="28">
        <f t="shared" si="34"/>
        <v>1</v>
      </c>
      <c r="M149" s="28">
        <f t="shared" si="35"/>
        <v>0.21429999999999999</v>
      </c>
      <c r="N149" s="28" t="s">
        <v>279</v>
      </c>
      <c r="O149" s="28">
        <f t="shared" si="29"/>
        <v>3</v>
      </c>
      <c r="P149" s="28">
        <f t="shared" si="36"/>
        <v>0.2142</v>
      </c>
      <c r="Q149" s="28" t="s">
        <v>279</v>
      </c>
      <c r="R149" s="28">
        <f t="shared" si="30"/>
        <v>3</v>
      </c>
      <c r="S149" s="28">
        <f t="shared" si="37"/>
        <v>0.42869999999999997</v>
      </c>
      <c r="T149" s="28" t="s">
        <v>276</v>
      </c>
      <c r="U149" s="28">
        <v>1</v>
      </c>
      <c r="V149" s="28">
        <f t="shared" si="38"/>
        <v>0.1429</v>
      </c>
      <c r="W149" s="30">
        <f t="shared" si="39"/>
        <v>1.8573</v>
      </c>
      <c r="X149" s="31">
        <f t="shared" si="41"/>
        <v>1.8573</v>
      </c>
      <c r="Y149" s="31">
        <v>2</v>
      </c>
      <c r="Z149" s="32" t="str">
        <f t="shared" si="40"/>
        <v>Medium</v>
      </c>
    </row>
    <row r="150" spans="2:26" x14ac:dyDescent="0.2">
      <c r="B150" s="28" t="s">
        <v>585</v>
      </c>
      <c r="C150" s="28" t="s">
        <v>586</v>
      </c>
      <c r="D150" s="28" t="s">
        <v>293</v>
      </c>
      <c r="E150" s="28" t="str">
        <f>+_xlfn.XLOOKUP(D150,[1]Regiones!$B$4:$B$31,[1]Regiones!$G$4:$G$31)</f>
        <v>High</v>
      </c>
      <c r="F150" s="29">
        <f t="shared" si="28"/>
        <v>3</v>
      </c>
      <c r="G150" s="28">
        <f t="shared" si="31"/>
        <v>0.64290000000000003</v>
      </c>
      <c r="H150" s="28" t="s">
        <v>275</v>
      </c>
      <c r="I150" s="28">
        <f t="shared" si="32"/>
        <v>1</v>
      </c>
      <c r="J150" s="28">
        <f t="shared" si="33"/>
        <v>0.21429999999999999</v>
      </c>
      <c r="K150" s="28" t="s">
        <v>279</v>
      </c>
      <c r="L150" s="28">
        <f t="shared" si="34"/>
        <v>3</v>
      </c>
      <c r="M150" s="28">
        <f t="shared" si="35"/>
        <v>0.64290000000000003</v>
      </c>
      <c r="N150" s="28" t="s">
        <v>275</v>
      </c>
      <c r="O150" s="28">
        <f t="shared" si="29"/>
        <v>1</v>
      </c>
      <c r="P150" s="28">
        <f t="shared" si="36"/>
        <v>7.1400000000000005E-2</v>
      </c>
      <c r="Q150" s="28" t="s">
        <v>275</v>
      </c>
      <c r="R150" s="28">
        <f t="shared" si="30"/>
        <v>1</v>
      </c>
      <c r="S150" s="28">
        <f t="shared" si="37"/>
        <v>0.1429</v>
      </c>
      <c r="T150" s="28" t="s">
        <v>276</v>
      </c>
      <c r="U150" s="28">
        <v>1</v>
      </c>
      <c r="V150" s="28">
        <f t="shared" si="38"/>
        <v>0.1429</v>
      </c>
      <c r="W150" s="30">
        <f t="shared" si="39"/>
        <v>1.8573</v>
      </c>
      <c r="X150" s="31">
        <f t="shared" si="41"/>
        <v>1.8573</v>
      </c>
      <c r="Y150" s="31">
        <v>2</v>
      </c>
      <c r="Z150" s="32" t="str">
        <f t="shared" si="40"/>
        <v>Medium</v>
      </c>
    </row>
    <row r="151" spans="2:26" x14ac:dyDescent="0.2">
      <c r="B151" s="28" t="s">
        <v>587</v>
      </c>
      <c r="C151" s="28" t="s">
        <v>588</v>
      </c>
      <c r="D151" s="28" t="s">
        <v>274</v>
      </c>
      <c r="E151" s="28" t="str">
        <f>+_xlfn.XLOOKUP(D151,[1]Regiones!$B$4:$B$31,[1]Regiones!$G$4:$G$31)</f>
        <v>High</v>
      </c>
      <c r="F151" s="29">
        <f t="shared" si="28"/>
        <v>3</v>
      </c>
      <c r="G151" s="28">
        <f t="shared" si="31"/>
        <v>0.64290000000000003</v>
      </c>
      <c r="H151" s="28" t="s">
        <v>275</v>
      </c>
      <c r="I151" s="28">
        <f t="shared" si="32"/>
        <v>1</v>
      </c>
      <c r="J151" s="28">
        <f t="shared" si="33"/>
        <v>0.21429999999999999</v>
      </c>
      <c r="K151" s="28" t="s">
        <v>275</v>
      </c>
      <c r="L151" s="28">
        <f t="shared" si="34"/>
        <v>1</v>
      </c>
      <c r="M151" s="28">
        <f t="shared" si="35"/>
        <v>0.21429999999999999</v>
      </c>
      <c r="N151" s="28" t="s">
        <v>275</v>
      </c>
      <c r="O151" s="28">
        <f t="shared" si="29"/>
        <v>1</v>
      </c>
      <c r="P151" s="28">
        <f t="shared" si="36"/>
        <v>7.1400000000000005E-2</v>
      </c>
      <c r="Q151" s="28" t="s">
        <v>275</v>
      </c>
      <c r="R151" s="28">
        <f t="shared" si="30"/>
        <v>1</v>
      </c>
      <c r="S151" s="28">
        <f t="shared" si="37"/>
        <v>0.1429</v>
      </c>
      <c r="T151" s="28" t="s">
        <v>276</v>
      </c>
      <c r="U151" s="28">
        <v>1</v>
      </c>
      <c r="V151" s="28">
        <f t="shared" si="38"/>
        <v>0.1429</v>
      </c>
      <c r="W151" s="30">
        <f t="shared" si="39"/>
        <v>1.4286999999999999</v>
      </c>
      <c r="X151" s="31">
        <f t="shared" si="41"/>
        <v>1.4286999999999999</v>
      </c>
      <c r="Y151" s="31">
        <v>1</v>
      </c>
      <c r="Z151" s="32" t="str">
        <f t="shared" si="40"/>
        <v>Low</v>
      </c>
    </row>
    <row r="152" spans="2:26" x14ac:dyDescent="0.2">
      <c r="B152" s="28" t="s">
        <v>589</v>
      </c>
      <c r="C152" s="28" t="s">
        <v>590</v>
      </c>
      <c r="D152" s="28" t="s">
        <v>274</v>
      </c>
      <c r="E152" s="28" t="str">
        <f>+_xlfn.XLOOKUP(D152,[1]Regiones!$B$4:$B$31,[1]Regiones!$G$4:$G$31)</f>
        <v>High</v>
      </c>
      <c r="F152" s="29">
        <f t="shared" si="28"/>
        <v>3</v>
      </c>
      <c r="G152" s="28">
        <f t="shared" si="31"/>
        <v>0.64290000000000003</v>
      </c>
      <c r="H152" s="28" t="s">
        <v>275</v>
      </c>
      <c r="I152" s="28">
        <f t="shared" si="32"/>
        <v>1</v>
      </c>
      <c r="J152" s="28">
        <f t="shared" si="33"/>
        <v>0.21429999999999999</v>
      </c>
      <c r="K152" s="28" t="s">
        <v>275</v>
      </c>
      <c r="L152" s="28">
        <f t="shared" si="34"/>
        <v>1</v>
      </c>
      <c r="M152" s="28">
        <f t="shared" si="35"/>
        <v>0.21429999999999999</v>
      </c>
      <c r="N152" s="28" t="s">
        <v>279</v>
      </c>
      <c r="O152" s="28">
        <f t="shared" si="29"/>
        <v>3</v>
      </c>
      <c r="P152" s="28">
        <f t="shared" si="36"/>
        <v>0.2142</v>
      </c>
      <c r="Q152" s="28" t="s">
        <v>279</v>
      </c>
      <c r="R152" s="28">
        <f t="shared" si="30"/>
        <v>3</v>
      </c>
      <c r="S152" s="28">
        <f t="shared" si="37"/>
        <v>0.42869999999999997</v>
      </c>
      <c r="T152" s="28" t="s">
        <v>276</v>
      </c>
      <c r="U152" s="28">
        <v>1</v>
      </c>
      <c r="V152" s="28">
        <f t="shared" si="38"/>
        <v>0.1429</v>
      </c>
      <c r="W152" s="30">
        <f t="shared" si="39"/>
        <v>1.8573</v>
      </c>
      <c r="X152" s="31">
        <f t="shared" si="41"/>
        <v>1.8573</v>
      </c>
      <c r="Y152" s="31">
        <v>2</v>
      </c>
      <c r="Z152" s="32" t="str">
        <f t="shared" si="40"/>
        <v>Medium</v>
      </c>
    </row>
    <row r="153" spans="2:26" x14ac:dyDescent="0.2">
      <c r="B153" s="28" t="s">
        <v>591</v>
      </c>
      <c r="C153" s="28" t="s">
        <v>592</v>
      </c>
      <c r="D153" s="28" t="s">
        <v>358</v>
      </c>
      <c r="E153" s="28" t="str">
        <f>+_xlfn.XLOOKUP(D153,[1]Regiones!$B$4:$B$31,[1]Regiones!$G$4:$G$31)</f>
        <v>High</v>
      </c>
      <c r="F153" s="29">
        <f t="shared" si="28"/>
        <v>3</v>
      </c>
      <c r="G153" s="28">
        <f t="shared" si="31"/>
        <v>0.64290000000000003</v>
      </c>
      <c r="H153" s="28" t="s">
        <v>275</v>
      </c>
      <c r="I153" s="28">
        <f t="shared" si="32"/>
        <v>1</v>
      </c>
      <c r="J153" s="28">
        <f t="shared" si="33"/>
        <v>0.21429999999999999</v>
      </c>
      <c r="K153" s="28" t="s">
        <v>275</v>
      </c>
      <c r="L153" s="28">
        <f t="shared" si="34"/>
        <v>1</v>
      </c>
      <c r="M153" s="28">
        <f t="shared" si="35"/>
        <v>0.21429999999999999</v>
      </c>
      <c r="N153" s="28" t="s">
        <v>279</v>
      </c>
      <c r="O153" s="28">
        <f t="shared" si="29"/>
        <v>3</v>
      </c>
      <c r="P153" s="28">
        <f t="shared" si="36"/>
        <v>0.2142</v>
      </c>
      <c r="Q153" s="28" t="s">
        <v>279</v>
      </c>
      <c r="R153" s="28">
        <f t="shared" si="30"/>
        <v>3</v>
      </c>
      <c r="S153" s="28">
        <f t="shared" si="37"/>
        <v>0.42869999999999997</v>
      </c>
      <c r="T153" s="28" t="s">
        <v>280</v>
      </c>
      <c r="U153" s="28">
        <v>3</v>
      </c>
      <c r="V153" s="28">
        <f t="shared" si="38"/>
        <v>0.42869999999999997</v>
      </c>
      <c r="W153" s="30">
        <f t="shared" si="39"/>
        <v>2.1431</v>
      </c>
      <c r="X153" s="31">
        <f t="shared" si="41"/>
        <v>2.1431</v>
      </c>
      <c r="Y153" s="31">
        <v>2</v>
      </c>
      <c r="Z153" s="32" t="str">
        <f t="shared" si="40"/>
        <v>Medium</v>
      </c>
    </row>
    <row r="154" spans="2:26" x14ac:dyDescent="0.2">
      <c r="B154" s="28" t="s">
        <v>593</v>
      </c>
      <c r="C154" s="38" t="s">
        <v>594</v>
      </c>
      <c r="D154" s="28" t="s">
        <v>274</v>
      </c>
      <c r="E154" s="28" t="str">
        <f>+_xlfn.XLOOKUP(D154,[1]Regiones!$B$4:$B$31,[1]Regiones!$G$4:$G$31)</f>
        <v>High</v>
      </c>
      <c r="F154" s="29">
        <f t="shared" si="28"/>
        <v>3</v>
      </c>
      <c r="G154" s="28">
        <f t="shared" si="31"/>
        <v>0.64290000000000003</v>
      </c>
      <c r="H154" s="28" t="s">
        <v>275</v>
      </c>
      <c r="I154" s="28">
        <f t="shared" si="32"/>
        <v>1</v>
      </c>
      <c r="J154" s="28">
        <f t="shared" si="33"/>
        <v>0.21429999999999999</v>
      </c>
      <c r="K154" s="28" t="s">
        <v>275</v>
      </c>
      <c r="L154" s="28">
        <f t="shared" si="34"/>
        <v>1</v>
      </c>
      <c r="M154" s="28">
        <f t="shared" si="35"/>
        <v>0.21429999999999999</v>
      </c>
      <c r="N154" s="28" t="s">
        <v>275</v>
      </c>
      <c r="O154" s="28">
        <f t="shared" si="29"/>
        <v>1</v>
      </c>
      <c r="P154" s="28">
        <f t="shared" si="36"/>
        <v>7.1400000000000005E-2</v>
      </c>
      <c r="Q154" s="28" t="s">
        <v>275</v>
      </c>
      <c r="R154" s="28">
        <f t="shared" si="30"/>
        <v>1</v>
      </c>
      <c r="S154" s="28">
        <f t="shared" si="37"/>
        <v>0.1429</v>
      </c>
      <c r="T154" s="28" t="s">
        <v>276</v>
      </c>
      <c r="U154" s="28">
        <v>1</v>
      </c>
      <c r="V154" s="28">
        <f t="shared" si="38"/>
        <v>0.1429</v>
      </c>
      <c r="W154" s="30">
        <f t="shared" si="39"/>
        <v>1.4286999999999999</v>
      </c>
      <c r="X154" s="31">
        <f t="shared" si="41"/>
        <v>1.4286999999999999</v>
      </c>
      <c r="Y154" s="31">
        <v>1</v>
      </c>
      <c r="Z154" s="32" t="str">
        <f t="shared" si="40"/>
        <v>Low</v>
      </c>
    </row>
    <row r="155" spans="2:26" x14ac:dyDescent="0.2">
      <c r="B155" s="28" t="s">
        <v>595</v>
      </c>
      <c r="C155" s="28" t="s">
        <v>596</v>
      </c>
      <c r="D155" s="28" t="s">
        <v>558</v>
      </c>
      <c r="E155" s="28" t="str">
        <f>+_xlfn.XLOOKUP(D155,[1]Regiones!$B$4:$B$31,[1]Regiones!$G$4:$G$31)</f>
        <v>Low</v>
      </c>
      <c r="F155" s="29">
        <f t="shared" si="28"/>
        <v>1</v>
      </c>
      <c r="G155" s="28">
        <f t="shared" si="31"/>
        <v>0.21429999999999999</v>
      </c>
      <c r="H155" s="28" t="s">
        <v>275</v>
      </c>
      <c r="I155" s="28">
        <f t="shared" si="32"/>
        <v>1</v>
      </c>
      <c r="J155" s="28">
        <f t="shared" si="33"/>
        <v>0.21429999999999999</v>
      </c>
      <c r="K155" s="28" t="s">
        <v>275</v>
      </c>
      <c r="L155" s="28">
        <f t="shared" si="34"/>
        <v>1</v>
      </c>
      <c r="M155" s="28">
        <f t="shared" si="35"/>
        <v>0.21429999999999999</v>
      </c>
      <c r="N155" s="28" t="s">
        <v>279</v>
      </c>
      <c r="O155" s="28">
        <f t="shared" si="29"/>
        <v>3</v>
      </c>
      <c r="P155" s="28">
        <f t="shared" si="36"/>
        <v>0.2142</v>
      </c>
      <c r="Q155" s="28" t="s">
        <v>275</v>
      </c>
      <c r="R155" s="28">
        <f t="shared" si="30"/>
        <v>1</v>
      </c>
      <c r="S155" s="28">
        <f t="shared" si="37"/>
        <v>0.1429</v>
      </c>
      <c r="T155" s="28" t="s">
        <v>276</v>
      </c>
      <c r="U155" s="28">
        <v>1</v>
      </c>
      <c r="V155" s="28">
        <f t="shared" si="38"/>
        <v>0.1429</v>
      </c>
      <c r="W155" s="30">
        <f t="shared" si="39"/>
        <v>1.1429</v>
      </c>
      <c r="X155" s="31">
        <f t="shared" si="41"/>
        <v>1.1429</v>
      </c>
      <c r="Y155" s="31">
        <v>1</v>
      </c>
      <c r="Z155" s="32" t="str">
        <f t="shared" si="40"/>
        <v>Low</v>
      </c>
    </row>
    <row r="156" spans="2:26" x14ac:dyDescent="0.2">
      <c r="B156" s="28" t="s">
        <v>597</v>
      </c>
      <c r="C156" s="28" t="s">
        <v>598</v>
      </c>
      <c r="D156" s="28" t="s">
        <v>274</v>
      </c>
      <c r="E156" s="28" t="str">
        <f>+_xlfn.XLOOKUP(D156,[1]Regiones!$B$4:$B$31,[1]Regiones!$G$4:$G$31)</f>
        <v>High</v>
      </c>
      <c r="F156" s="29">
        <f t="shared" si="28"/>
        <v>3</v>
      </c>
      <c r="G156" s="28">
        <f t="shared" si="31"/>
        <v>0.64290000000000003</v>
      </c>
      <c r="H156" s="28" t="s">
        <v>275</v>
      </c>
      <c r="I156" s="28">
        <f t="shared" si="32"/>
        <v>1</v>
      </c>
      <c r="J156" s="28">
        <f t="shared" si="33"/>
        <v>0.21429999999999999</v>
      </c>
      <c r="K156" s="28" t="s">
        <v>275</v>
      </c>
      <c r="L156" s="28">
        <f t="shared" si="34"/>
        <v>1</v>
      </c>
      <c r="M156" s="28">
        <f t="shared" si="35"/>
        <v>0.21429999999999999</v>
      </c>
      <c r="N156" s="28" t="s">
        <v>279</v>
      </c>
      <c r="O156" s="28">
        <f t="shared" si="29"/>
        <v>3</v>
      </c>
      <c r="P156" s="28">
        <f t="shared" si="36"/>
        <v>0.2142</v>
      </c>
      <c r="Q156" s="28" t="s">
        <v>279</v>
      </c>
      <c r="R156" s="28">
        <f t="shared" si="30"/>
        <v>3</v>
      </c>
      <c r="S156" s="28">
        <f t="shared" si="37"/>
        <v>0.42869999999999997</v>
      </c>
      <c r="T156" s="28" t="s">
        <v>276</v>
      </c>
      <c r="U156" s="28">
        <v>1</v>
      </c>
      <c r="V156" s="28">
        <f t="shared" si="38"/>
        <v>0.1429</v>
      </c>
      <c r="W156" s="30">
        <f t="shared" si="39"/>
        <v>1.8573</v>
      </c>
      <c r="X156" s="31">
        <f t="shared" si="41"/>
        <v>1.8573</v>
      </c>
      <c r="Y156" s="31">
        <v>2</v>
      </c>
      <c r="Z156" s="32" t="str">
        <f t="shared" si="40"/>
        <v>Medium</v>
      </c>
    </row>
    <row r="157" spans="2:26" x14ac:dyDescent="0.2">
      <c r="B157" s="28" t="s">
        <v>599</v>
      </c>
      <c r="C157" s="28" t="s">
        <v>600</v>
      </c>
      <c r="D157" s="28" t="s">
        <v>274</v>
      </c>
      <c r="E157" s="28" t="str">
        <f>+_xlfn.XLOOKUP(D157,[1]Regiones!$B$4:$B$31,[1]Regiones!$G$4:$G$31)</f>
        <v>High</v>
      </c>
      <c r="F157" s="29">
        <f t="shared" si="28"/>
        <v>3</v>
      </c>
      <c r="G157" s="28">
        <f t="shared" si="31"/>
        <v>0.64290000000000003</v>
      </c>
      <c r="H157" s="28" t="s">
        <v>275</v>
      </c>
      <c r="I157" s="28">
        <f t="shared" si="32"/>
        <v>1</v>
      </c>
      <c r="J157" s="28">
        <f t="shared" si="33"/>
        <v>0.21429999999999999</v>
      </c>
      <c r="K157" s="28" t="s">
        <v>275</v>
      </c>
      <c r="L157" s="28">
        <f t="shared" si="34"/>
        <v>1</v>
      </c>
      <c r="M157" s="28">
        <f t="shared" si="35"/>
        <v>0.21429999999999999</v>
      </c>
      <c r="N157" s="28" t="s">
        <v>275</v>
      </c>
      <c r="O157" s="28">
        <f t="shared" si="29"/>
        <v>1</v>
      </c>
      <c r="P157" s="28">
        <f t="shared" si="36"/>
        <v>7.1400000000000005E-2</v>
      </c>
      <c r="Q157" s="28" t="s">
        <v>275</v>
      </c>
      <c r="R157" s="28">
        <f t="shared" si="30"/>
        <v>1</v>
      </c>
      <c r="S157" s="28">
        <f t="shared" si="37"/>
        <v>0.1429</v>
      </c>
      <c r="T157" s="28" t="s">
        <v>276</v>
      </c>
      <c r="U157" s="28">
        <v>1</v>
      </c>
      <c r="V157" s="28">
        <f t="shared" si="38"/>
        <v>0.1429</v>
      </c>
      <c r="W157" s="30">
        <f t="shared" si="39"/>
        <v>1.4286999999999999</v>
      </c>
      <c r="X157" s="31">
        <f t="shared" si="41"/>
        <v>1.4286999999999999</v>
      </c>
      <c r="Y157" s="31">
        <v>1</v>
      </c>
      <c r="Z157" s="32" t="str">
        <f t="shared" si="40"/>
        <v>Low</v>
      </c>
    </row>
    <row r="158" spans="2:26" x14ac:dyDescent="0.2">
      <c r="B158" s="28" t="s">
        <v>601</v>
      </c>
      <c r="C158" s="28" t="s">
        <v>602</v>
      </c>
      <c r="D158" s="28" t="s">
        <v>549</v>
      </c>
      <c r="E158" s="28" t="str">
        <f>+_xlfn.XLOOKUP(D158,[1]Regiones!$B$4:$B$31,[1]Regiones!$G$4:$G$31)</f>
        <v>Low</v>
      </c>
      <c r="F158" s="29">
        <f t="shared" si="28"/>
        <v>1</v>
      </c>
      <c r="G158" s="28">
        <f t="shared" si="31"/>
        <v>0.21429999999999999</v>
      </c>
      <c r="H158" s="28" t="s">
        <v>275</v>
      </c>
      <c r="I158" s="28">
        <f t="shared" si="32"/>
        <v>1</v>
      </c>
      <c r="J158" s="28">
        <f t="shared" si="33"/>
        <v>0.21429999999999999</v>
      </c>
      <c r="K158" s="28" t="s">
        <v>275</v>
      </c>
      <c r="L158" s="28">
        <f t="shared" si="34"/>
        <v>1</v>
      </c>
      <c r="M158" s="28">
        <f t="shared" si="35"/>
        <v>0.21429999999999999</v>
      </c>
      <c r="N158" s="28" t="s">
        <v>279</v>
      </c>
      <c r="O158" s="28">
        <f t="shared" si="29"/>
        <v>3</v>
      </c>
      <c r="P158" s="28">
        <f t="shared" si="36"/>
        <v>0.2142</v>
      </c>
      <c r="Q158" s="28" t="s">
        <v>279</v>
      </c>
      <c r="R158" s="28">
        <f t="shared" si="30"/>
        <v>3</v>
      </c>
      <c r="S158" s="28">
        <f t="shared" si="37"/>
        <v>0.42869999999999997</v>
      </c>
      <c r="T158" s="28" t="s">
        <v>276</v>
      </c>
      <c r="U158" s="28">
        <v>1</v>
      </c>
      <c r="V158" s="28">
        <f t="shared" si="38"/>
        <v>0.1429</v>
      </c>
      <c r="W158" s="30">
        <f t="shared" si="39"/>
        <v>1.4287000000000001</v>
      </c>
      <c r="X158" s="31">
        <f t="shared" si="41"/>
        <v>1.4287000000000001</v>
      </c>
      <c r="Y158" s="31">
        <v>1</v>
      </c>
      <c r="Z158" s="32" t="str">
        <f t="shared" si="40"/>
        <v>Low</v>
      </c>
    </row>
    <row r="159" spans="2:26" x14ac:dyDescent="0.2">
      <c r="B159" s="28" t="s">
        <v>603</v>
      </c>
      <c r="C159" s="28" t="s">
        <v>604</v>
      </c>
      <c r="D159" s="28" t="s">
        <v>274</v>
      </c>
      <c r="E159" s="28" t="str">
        <f>+_xlfn.XLOOKUP(D159,[1]Regiones!$B$4:$B$31,[1]Regiones!$G$4:$G$31)</f>
        <v>High</v>
      </c>
      <c r="F159" s="29">
        <f t="shared" si="28"/>
        <v>3</v>
      </c>
      <c r="G159" s="28">
        <f t="shared" si="31"/>
        <v>0.64290000000000003</v>
      </c>
      <c r="H159" s="28" t="s">
        <v>275</v>
      </c>
      <c r="I159" s="28">
        <f t="shared" si="32"/>
        <v>1</v>
      </c>
      <c r="J159" s="28">
        <f t="shared" si="33"/>
        <v>0.21429999999999999</v>
      </c>
      <c r="K159" s="28" t="s">
        <v>275</v>
      </c>
      <c r="L159" s="28">
        <f t="shared" si="34"/>
        <v>1</v>
      </c>
      <c r="M159" s="28">
        <f t="shared" si="35"/>
        <v>0.21429999999999999</v>
      </c>
      <c r="N159" s="28" t="s">
        <v>279</v>
      </c>
      <c r="O159" s="28">
        <f t="shared" si="29"/>
        <v>3</v>
      </c>
      <c r="P159" s="28">
        <f t="shared" si="36"/>
        <v>0.2142</v>
      </c>
      <c r="Q159" s="28" t="s">
        <v>279</v>
      </c>
      <c r="R159" s="28">
        <f t="shared" si="30"/>
        <v>3</v>
      </c>
      <c r="S159" s="28">
        <f t="shared" si="37"/>
        <v>0.42869999999999997</v>
      </c>
      <c r="T159" s="28" t="s">
        <v>276</v>
      </c>
      <c r="U159" s="28">
        <v>1</v>
      </c>
      <c r="V159" s="28">
        <f t="shared" si="38"/>
        <v>0.1429</v>
      </c>
      <c r="W159" s="30">
        <f t="shared" si="39"/>
        <v>1.8573</v>
      </c>
      <c r="X159" s="31">
        <f t="shared" si="41"/>
        <v>1.8573</v>
      </c>
      <c r="Y159" s="31">
        <v>2</v>
      </c>
      <c r="Z159" s="32" t="str">
        <f t="shared" si="40"/>
        <v>Medium</v>
      </c>
    </row>
    <row r="160" spans="2:26" x14ac:dyDescent="0.2">
      <c r="B160" s="28" t="s">
        <v>605</v>
      </c>
      <c r="C160" s="28" t="s">
        <v>606</v>
      </c>
      <c r="D160" s="28" t="s">
        <v>274</v>
      </c>
      <c r="E160" s="28" t="str">
        <f>+_xlfn.XLOOKUP(D160,[1]Regiones!$B$4:$B$31,[1]Regiones!$G$4:$G$31)</f>
        <v>High</v>
      </c>
      <c r="F160" s="29">
        <f t="shared" si="28"/>
        <v>3</v>
      </c>
      <c r="G160" s="28">
        <f t="shared" si="31"/>
        <v>0.64290000000000003</v>
      </c>
      <c r="H160" s="28" t="s">
        <v>275</v>
      </c>
      <c r="I160" s="28">
        <f t="shared" si="32"/>
        <v>1</v>
      </c>
      <c r="J160" s="28">
        <f t="shared" si="33"/>
        <v>0.21429999999999999</v>
      </c>
      <c r="K160" s="28" t="s">
        <v>275</v>
      </c>
      <c r="L160" s="28">
        <f t="shared" si="34"/>
        <v>1</v>
      </c>
      <c r="M160" s="28">
        <f t="shared" si="35"/>
        <v>0.21429999999999999</v>
      </c>
      <c r="N160" s="28" t="s">
        <v>275</v>
      </c>
      <c r="O160" s="28">
        <f t="shared" si="29"/>
        <v>1</v>
      </c>
      <c r="P160" s="28">
        <f t="shared" si="36"/>
        <v>7.1400000000000005E-2</v>
      </c>
      <c r="Q160" s="28" t="s">
        <v>275</v>
      </c>
      <c r="R160" s="28">
        <f t="shared" si="30"/>
        <v>1</v>
      </c>
      <c r="S160" s="28">
        <f t="shared" si="37"/>
        <v>0.1429</v>
      </c>
      <c r="T160" s="28" t="s">
        <v>276</v>
      </c>
      <c r="U160" s="28">
        <v>1</v>
      </c>
      <c r="V160" s="28">
        <f t="shared" si="38"/>
        <v>0.1429</v>
      </c>
      <c r="W160" s="30">
        <f t="shared" si="39"/>
        <v>1.4286999999999999</v>
      </c>
      <c r="X160" s="31">
        <f t="shared" si="41"/>
        <v>1.4286999999999999</v>
      </c>
      <c r="Y160" s="31">
        <v>1</v>
      </c>
      <c r="Z160" s="32" t="str">
        <f t="shared" si="40"/>
        <v>Low</v>
      </c>
    </row>
    <row r="161" spans="2:26" x14ac:dyDescent="0.2">
      <c r="B161" s="28" t="s">
        <v>607</v>
      </c>
      <c r="C161" s="28" t="s">
        <v>608</v>
      </c>
      <c r="D161" s="28" t="s">
        <v>549</v>
      </c>
      <c r="E161" s="28" t="str">
        <f>+_xlfn.XLOOKUP(D161,[1]Regiones!$B$4:$B$31,[1]Regiones!$G$4:$G$31)</f>
        <v>Low</v>
      </c>
      <c r="F161" s="29">
        <f t="shared" si="28"/>
        <v>1</v>
      </c>
      <c r="G161" s="28">
        <f t="shared" si="31"/>
        <v>0.21429999999999999</v>
      </c>
      <c r="H161" s="28" t="s">
        <v>275</v>
      </c>
      <c r="I161" s="28">
        <f t="shared" si="32"/>
        <v>1</v>
      </c>
      <c r="J161" s="28">
        <f t="shared" si="33"/>
        <v>0.21429999999999999</v>
      </c>
      <c r="K161" s="28" t="s">
        <v>275</v>
      </c>
      <c r="L161" s="28">
        <f t="shared" si="34"/>
        <v>1</v>
      </c>
      <c r="M161" s="28">
        <f t="shared" si="35"/>
        <v>0.21429999999999999</v>
      </c>
      <c r="N161" s="28" t="s">
        <v>279</v>
      </c>
      <c r="O161" s="28">
        <f t="shared" si="29"/>
        <v>3</v>
      </c>
      <c r="P161" s="28">
        <f t="shared" si="36"/>
        <v>0.2142</v>
      </c>
      <c r="Q161" s="28" t="s">
        <v>275</v>
      </c>
      <c r="R161" s="28">
        <f t="shared" si="30"/>
        <v>1</v>
      </c>
      <c r="S161" s="28">
        <f t="shared" si="37"/>
        <v>0.1429</v>
      </c>
      <c r="T161" s="28" t="s">
        <v>276</v>
      </c>
      <c r="U161" s="28">
        <v>1</v>
      </c>
      <c r="V161" s="28">
        <f t="shared" si="38"/>
        <v>0.1429</v>
      </c>
      <c r="W161" s="30">
        <f t="shared" si="39"/>
        <v>1.1429</v>
      </c>
      <c r="X161" s="31">
        <f t="shared" si="41"/>
        <v>1.1429</v>
      </c>
      <c r="Y161" s="31">
        <v>1</v>
      </c>
      <c r="Z161" s="32" t="str">
        <f t="shared" si="40"/>
        <v>Low</v>
      </c>
    </row>
    <row r="162" spans="2:26" x14ac:dyDescent="0.2">
      <c r="B162" s="28" t="s">
        <v>609</v>
      </c>
      <c r="C162" s="28" t="s">
        <v>610</v>
      </c>
      <c r="D162" s="28" t="s">
        <v>363</v>
      </c>
      <c r="E162" s="28" t="str">
        <f>+_xlfn.XLOOKUP(D162,[1]Regiones!$B$4:$B$31,[1]Regiones!$G$4:$G$31)</f>
        <v>Low</v>
      </c>
      <c r="F162" s="29">
        <f t="shared" si="28"/>
        <v>1</v>
      </c>
      <c r="G162" s="28">
        <f t="shared" si="31"/>
        <v>0.21429999999999999</v>
      </c>
      <c r="H162" s="28" t="s">
        <v>275</v>
      </c>
      <c r="I162" s="28">
        <f t="shared" si="32"/>
        <v>1</v>
      </c>
      <c r="J162" s="28">
        <f t="shared" si="33"/>
        <v>0.21429999999999999</v>
      </c>
      <c r="K162" s="28" t="s">
        <v>275</v>
      </c>
      <c r="L162" s="28">
        <f t="shared" si="34"/>
        <v>1</v>
      </c>
      <c r="M162" s="28">
        <f t="shared" si="35"/>
        <v>0.21429999999999999</v>
      </c>
      <c r="N162" s="28" t="s">
        <v>275</v>
      </c>
      <c r="O162" s="28">
        <f t="shared" si="29"/>
        <v>1</v>
      </c>
      <c r="P162" s="28">
        <f t="shared" si="36"/>
        <v>7.1400000000000005E-2</v>
      </c>
      <c r="Q162" s="28" t="s">
        <v>275</v>
      </c>
      <c r="R162" s="28">
        <f t="shared" si="30"/>
        <v>1</v>
      </c>
      <c r="S162" s="28">
        <f t="shared" si="37"/>
        <v>0.1429</v>
      </c>
      <c r="T162" s="28" t="s">
        <v>276</v>
      </c>
      <c r="U162" s="28">
        <v>1</v>
      </c>
      <c r="V162" s="28">
        <f t="shared" si="38"/>
        <v>0.1429</v>
      </c>
      <c r="W162" s="30">
        <f t="shared" si="39"/>
        <v>1.0001</v>
      </c>
      <c r="X162" s="31">
        <f t="shared" si="41"/>
        <v>1.0001</v>
      </c>
      <c r="Y162" s="31">
        <v>1</v>
      </c>
      <c r="Z162" s="32" t="str">
        <f t="shared" si="40"/>
        <v>Low</v>
      </c>
    </row>
    <row r="163" spans="2:26" x14ac:dyDescent="0.2">
      <c r="B163" s="28" t="s">
        <v>611</v>
      </c>
      <c r="C163" s="28" t="s">
        <v>612</v>
      </c>
      <c r="D163" s="28" t="s">
        <v>293</v>
      </c>
      <c r="E163" s="28" t="str">
        <f>+_xlfn.XLOOKUP(D163,[1]Regiones!$B$4:$B$31,[1]Regiones!$G$4:$G$31)</f>
        <v>High</v>
      </c>
      <c r="F163" s="29">
        <f t="shared" si="28"/>
        <v>3</v>
      </c>
      <c r="G163" s="28">
        <f t="shared" si="31"/>
        <v>0.64290000000000003</v>
      </c>
      <c r="H163" s="28" t="s">
        <v>275</v>
      </c>
      <c r="I163" s="28">
        <f t="shared" si="32"/>
        <v>1</v>
      </c>
      <c r="J163" s="28">
        <f t="shared" si="33"/>
        <v>0.21429999999999999</v>
      </c>
      <c r="K163" s="28" t="s">
        <v>275</v>
      </c>
      <c r="L163" s="28">
        <f t="shared" si="34"/>
        <v>1</v>
      </c>
      <c r="M163" s="28">
        <f t="shared" si="35"/>
        <v>0.21429999999999999</v>
      </c>
      <c r="N163" s="28" t="s">
        <v>275</v>
      </c>
      <c r="O163" s="28">
        <f t="shared" si="29"/>
        <v>1</v>
      </c>
      <c r="P163" s="28">
        <f t="shared" si="36"/>
        <v>7.1400000000000005E-2</v>
      </c>
      <c r="Q163" s="28" t="s">
        <v>275</v>
      </c>
      <c r="R163" s="28">
        <f t="shared" si="30"/>
        <v>1</v>
      </c>
      <c r="S163" s="28">
        <f t="shared" si="37"/>
        <v>0.1429</v>
      </c>
      <c r="T163" s="28" t="s">
        <v>276</v>
      </c>
      <c r="U163" s="28">
        <v>1</v>
      </c>
      <c r="V163" s="28">
        <f t="shared" si="38"/>
        <v>0.1429</v>
      </c>
      <c r="W163" s="30">
        <f t="shared" si="39"/>
        <v>1.4286999999999999</v>
      </c>
      <c r="X163" s="31">
        <f t="shared" si="41"/>
        <v>1.4286999999999999</v>
      </c>
      <c r="Y163" s="31">
        <v>1</v>
      </c>
      <c r="Z163" s="32" t="str">
        <f t="shared" si="40"/>
        <v>Low</v>
      </c>
    </row>
    <row r="164" spans="2:26" x14ac:dyDescent="0.2">
      <c r="B164" s="28" t="s">
        <v>613</v>
      </c>
      <c r="C164" s="28" t="s">
        <v>614</v>
      </c>
      <c r="D164" s="28" t="s">
        <v>274</v>
      </c>
      <c r="E164" s="28" t="str">
        <f>+_xlfn.XLOOKUP(D164,[1]Regiones!$B$4:$B$31,[1]Regiones!$G$4:$G$31)</f>
        <v>High</v>
      </c>
      <c r="F164" s="29">
        <f t="shared" si="28"/>
        <v>3</v>
      </c>
      <c r="G164" s="28">
        <f t="shared" si="31"/>
        <v>0.64290000000000003</v>
      </c>
      <c r="H164" s="28" t="s">
        <v>275</v>
      </c>
      <c r="I164" s="28">
        <f t="shared" si="32"/>
        <v>1</v>
      </c>
      <c r="J164" s="28">
        <f t="shared" si="33"/>
        <v>0.21429999999999999</v>
      </c>
      <c r="K164" s="28" t="s">
        <v>275</v>
      </c>
      <c r="L164" s="28">
        <f t="shared" si="34"/>
        <v>1</v>
      </c>
      <c r="M164" s="28">
        <f t="shared" si="35"/>
        <v>0.21429999999999999</v>
      </c>
      <c r="N164" s="28" t="s">
        <v>279</v>
      </c>
      <c r="O164" s="28">
        <f t="shared" si="29"/>
        <v>3</v>
      </c>
      <c r="P164" s="28">
        <f t="shared" si="36"/>
        <v>0.2142</v>
      </c>
      <c r="Q164" s="28" t="s">
        <v>279</v>
      </c>
      <c r="R164" s="28">
        <f t="shared" si="30"/>
        <v>3</v>
      </c>
      <c r="S164" s="28">
        <f t="shared" si="37"/>
        <v>0.42869999999999997</v>
      </c>
      <c r="T164" s="28" t="s">
        <v>276</v>
      </c>
      <c r="U164" s="28">
        <v>1</v>
      </c>
      <c r="V164" s="28">
        <f t="shared" si="38"/>
        <v>0.1429</v>
      </c>
      <c r="W164" s="30">
        <f t="shared" si="39"/>
        <v>1.8573</v>
      </c>
      <c r="X164" s="31">
        <f t="shared" si="41"/>
        <v>1.8573</v>
      </c>
      <c r="Y164" s="31">
        <v>2</v>
      </c>
      <c r="Z164" s="32" t="str">
        <f t="shared" si="40"/>
        <v>Medium</v>
      </c>
    </row>
    <row r="165" spans="2:26" x14ac:dyDescent="0.2">
      <c r="B165" s="28" t="s">
        <v>615</v>
      </c>
      <c r="C165" s="28" t="s">
        <v>616</v>
      </c>
      <c r="D165" s="28" t="s">
        <v>274</v>
      </c>
      <c r="E165" s="28" t="str">
        <f>+_xlfn.XLOOKUP(D165,[1]Regiones!$B$4:$B$31,[1]Regiones!$G$4:$G$31)</f>
        <v>High</v>
      </c>
      <c r="F165" s="29">
        <f t="shared" si="28"/>
        <v>3</v>
      </c>
      <c r="G165" s="28">
        <f t="shared" si="31"/>
        <v>0.64290000000000003</v>
      </c>
      <c r="H165" s="28" t="s">
        <v>275</v>
      </c>
      <c r="I165" s="28">
        <f t="shared" si="32"/>
        <v>1</v>
      </c>
      <c r="J165" s="28">
        <f t="shared" si="33"/>
        <v>0.21429999999999999</v>
      </c>
      <c r="K165" s="28" t="s">
        <v>275</v>
      </c>
      <c r="L165" s="28">
        <f t="shared" si="34"/>
        <v>1</v>
      </c>
      <c r="M165" s="28">
        <f t="shared" si="35"/>
        <v>0.21429999999999999</v>
      </c>
      <c r="N165" s="28" t="s">
        <v>275</v>
      </c>
      <c r="O165" s="28">
        <f t="shared" si="29"/>
        <v>1</v>
      </c>
      <c r="P165" s="28">
        <f t="shared" si="36"/>
        <v>7.1400000000000005E-2</v>
      </c>
      <c r="Q165" s="28" t="s">
        <v>275</v>
      </c>
      <c r="R165" s="28">
        <f t="shared" si="30"/>
        <v>1</v>
      </c>
      <c r="S165" s="28">
        <f t="shared" si="37"/>
        <v>0.1429</v>
      </c>
      <c r="T165" s="28" t="s">
        <v>276</v>
      </c>
      <c r="U165" s="28">
        <v>1</v>
      </c>
      <c r="V165" s="28">
        <f t="shared" si="38"/>
        <v>0.1429</v>
      </c>
      <c r="W165" s="30">
        <f t="shared" si="39"/>
        <v>1.4286999999999999</v>
      </c>
      <c r="X165" s="31">
        <f t="shared" si="41"/>
        <v>1.4286999999999999</v>
      </c>
      <c r="Y165" s="31">
        <v>1</v>
      </c>
      <c r="Z165" s="32" t="str">
        <f t="shared" si="40"/>
        <v>Low</v>
      </c>
    </row>
    <row r="166" spans="2:26" x14ac:dyDescent="0.2">
      <c r="B166" s="28" t="s">
        <v>617</v>
      </c>
      <c r="C166" s="28" t="s">
        <v>618</v>
      </c>
      <c r="D166" s="28" t="s">
        <v>274</v>
      </c>
      <c r="E166" s="28" t="str">
        <f>+_xlfn.XLOOKUP(D166,[1]Regiones!$B$4:$B$31,[1]Regiones!$G$4:$G$31)</f>
        <v>High</v>
      </c>
      <c r="F166" s="29">
        <f t="shared" si="28"/>
        <v>3</v>
      </c>
      <c r="G166" s="28">
        <f t="shared" si="31"/>
        <v>0.64290000000000003</v>
      </c>
      <c r="H166" s="28" t="s">
        <v>275</v>
      </c>
      <c r="I166" s="28">
        <f t="shared" si="32"/>
        <v>1</v>
      </c>
      <c r="J166" s="28">
        <f t="shared" si="33"/>
        <v>0.21429999999999999</v>
      </c>
      <c r="K166" s="28" t="s">
        <v>275</v>
      </c>
      <c r="L166" s="28">
        <f t="shared" si="34"/>
        <v>1</v>
      </c>
      <c r="M166" s="28">
        <f t="shared" si="35"/>
        <v>0.21429999999999999</v>
      </c>
      <c r="N166" s="28" t="s">
        <v>279</v>
      </c>
      <c r="O166" s="28">
        <f t="shared" si="29"/>
        <v>3</v>
      </c>
      <c r="P166" s="28">
        <f t="shared" si="36"/>
        <v>0.2142</v>
      </c>
      <c r="Q166" s="28" t="s">
        <v>279</v>
      </c>
      <c r="R166" s="28">
        <f t="shared" si="30"/>
        <v>3</v>
      </c>
      <c r="S166" s="28">
        <f t="shared" si="37"/>
        <v>0.42869999999999997</v>
      </c>
      <c r="T166" s="28" t="s">
        <v>276</v>
      </c>
      <c r="U166" s="28">
        <v>1</v>
      </c>
      <c r="V166" s="28">
        <f t="shared" si="38"/>
        <v>0.1429</v>
      </c>
      <c r="W166" s="30">
        <f t="shared" si="39"/>
        <v>1.8573</v>
      </c>
      <c r="X166" s="31">
        <f t="shared" si="41"/>
        <v>1.8573</v>
      </c>
      <c r="Y166" s="31">
        <v>2</v>
      </c>
      <c r="Z166" s="32" t="str">
        <f t="shared" si="40"/>
        <v>Medium</v>
      </c>
    </row>
    <row r="167" spans="2:26" x14ac:dyDescent="0.2">
      <c r="B167" s="28" t="s">
        <v>619</v>
      </c>
      <c r="C167" s="28" t="s">
        <v>620</v>
      </c>
      <c r="D167" s="28" t="s">
        <v>293</v>
      </c>
      <c r="E167" s="28" t="str">
        <f>+_xlfn.XLOOKUP(D167,[1]Regiones!$B$4:$B$31,[1]Regiones!$G$4:$G$31)</f>
        <v>High</v>
      </c>
      <c r="F167" s="29">
        <f t="shared" si="28"/>
        <v>3</v>
      </c>
      <c r="G167" s="28">
        <f t="shared" si="31"/>
        <v>0.64290000000000003</v>
      </c>
      <c r="H167" s="28" t="s">
        <v>275</v>
      </c>
      <c r="I167" s="28">
        <f t="shared" si="32"/>
        <v>1</v>
      </c>
      <c r="J167" s="28">
        <f t="shared" si="33"/>
        <v>0.21429999999999999</v>
      </c>
      <c r="K167" s="28" t="s">
        <v>279</v>
      </c>
      <c r="L167" s="28">
        <f t="shared" si="34"/>
        <v>3</v>
      </c>
      <c r="M167" s="28">
        <f t="shared" si="35"/>
        <v>0.64290000000000003</v>
      </c>
      <c r="N167" s="28" t="s">
        <v>275</v>
      </c>
      <c r="O167" s="28">
        <f t="shared" si="29"/>
        <v>1</v>
      </c>
      <c r="P167" s="28">
        <f t="shared" si="36"/>
        <v>7.1400000000000005E-2</v>
      </c>
      <c r="Q167" s="28" t="s">
        <v>275</v>
      </c>
      <c r="R167" s="28">
        <f t="shared" si="30"/>
        <v>1</v>
      </c>
      <c r="S167" s="28">
        <f t="shared" si="37"/>
        <v>0.1429</v>
      </c>
      <c r="T167" s="28" t="s">
        <v>276</v>
      </c>
      <c r="U167" s="28">
        <v>1</v>
      </c>
      <c r="V167" s="28">
        <f t="shared" si="38"/>
        <v>0.1429</v>
      </c>
      <c r="W167" s="30">
        <f t="shared" si="39"/>
        <v>1.8573</v>
      </c>
      <c r="X167" s="31">
        <f t="shared" si="41"/>
        <v>1.8573</v>
      </c>
      <c r="Y167" s="31">
        <v>2</v>
      </c>
      <c r="Z167" s="32" t="str">
        <f t="shared" si="40"/>
        <v>Medium</v>
      </c>
    </row>
    <row r="168" spans="2:26" x14ac:dyDescent="0.2">
      <c r="B168" s="28" t="s">
        <v>621</v>
      </c>
      <c r="C168" s="28" t="s">
        <v>622</v>
      </c>
      <c r="D168" s="28" t="s">
        <v>312</v>
      </c>
      <c r="E168" s="28" t="str">
        <f>+_xlfn.XLOOKUP(D168,[1]Regiones!$B$4:$B$31,[1]Regiones!$G$4:$G$31)</f>
        <v>High</v>
      </c>
      <c r="F168" s="29">
        <f t="shared" si="28"/>
        <v>3</v>
      </c>
      <c r="G168" s="28">
        <f t="shared" si="31"/>
        <v>0.64290000000000003</v>
      </c>
      <c r="H168" s="28" t="s">
        <v>275</v>
      </c>
      <c r="I168" s="28">
        <f t="shared" si="32"/>
        <v>1</v>
      </c>
      <c r="J168" s="28">
        <f t="shared" si="33"/>
        <v>0.21429999999999999</v>
      </c>
      <c r="K168" s="28" t="s">
        <v>275</v>
      </c>
      <c r="L168" s="28">
        <f t="shared" si="34"/>
        <v>1</v>
      </c>
      <c r="M168" s="28">
        <f t="shared" si="35"/>
        <v>0.21429999999999999</v>
      </c>
      <c r="N168" s="28" t="s">
        <v>275</v>
      </c>
      <c r="O168" s="28">
        <f t="shared" si="29"/>
        <v>1</v>
      </c>
      <c r="P168" s="28">
        <f t="shared" si="36"/>
        <v>7.1400000000000005E-2</v>
      </c>
      <c r="Q168" s="28" t="s">
        <v>275</v>
      </c>
      <c r="R168" s="28">
        <f t="shared" si="30"/>
        <v>1</v>
      </c>
      <c r="S168" s="28">
        <f t="shared" si="37"/>
        <v>0.1429</v>
      </c>
      <c r="T168" s="28" t="s">
        <v>276</v>
      </c>
      <c r="U168" s="28">
        <v>1</v>
      </c>
      <c r="V168" s="28">
        <f t="shared" si="38"/>
        <v>0.1429</v>
      </c>
      <c r="W168" s="30">
        <f t="shared" si="39"/>
        <v>1.4286999999999999</v>
      </c>
      <c r="X168" s="31">
        <f t="shared" si="41"/>
        <v>1.4286999999999999</v>
      </c>
      <c r="Y168" s="31">
        <v>1</v>
      </c>
      <c r="Z168" s="32" t="str">
        <f t="shared" si="40"/>
        <v>Low</v>
      </c>
    </row>
    <row r="169" spans="2:26" x14ac:dyDescent="0.2">
      <c r="B169" s="28" t="s">
        <v>623</v>
      </c>
      <c r="C169" s="28" t="s">
        <v>624</v>
      </c>
      <c r="D169" s="28" t="s">
        <v>506</v>
      </c>
      <c r="E169" s="28" t="str">
        <f>+_xlfn.XLOOKUP(D169,[1]Regiones!$B$4:$B$31,[1]Regiones!$G$4:$G$31)</f>
        <v>High</v>
      </c>
      <c r="F169" s="29">
        <f t="shared" si="28"/>
        <v>3</v>
      </c>
      <c r="G169" s="28">
        <f t="shared" si="31"/>
        <v>0.64290000000000003</v>
      </c>
      <c r="H169" s="28" t="s">
        <v>275</v>
      </c>
      <c r="I169" s="28">
        <f t="shared" si="32"/>
        <v>1</v>
      </c>
      <c r="J169" s="28">
        <f t="shared" si="33"/>
        <v>0.21429999999999999</v>
      </c>
      <c r="K169" s="28" t="s">
        <v>275</v>
      </c>
      <c r="L169" s="28">
        <f t="shared" si="34"/>
        <v>1</v>
      </c>
      <c r="M169" s="28">
        <f t="shared" si="35"/>
        <v>0.21429999999999999</v>
      </c>
      <c r="N169" s="28" t="s">
        <v>275</v>
      </c>
      <c r="O169" s="28">
        <f t="shared" si="29"/>
        <v>1</v>
      </c>
      <c r="P169" s="28">
        <f t="shared" si="36"/>
        <v>7.1400000000000005E-2</v>
      </c>
      <c r="Q169" s="28" t="s">
        <v>275</v>
      </c>
      <c r="R169" s="28">
        <f t="shared" si="30"/>
        <v>1</v>
      </c>
      <c r="S169" s="28">
        <f t="shared" si="37"/>
        <v>0.1429</v>
      </c>
      <c r="T169" s="28" t="s">
        <v>276</v>
      </c>
      <c r="U169" s="28">
        <v>1</v>
      </c>
      <c r="V169" s="28">
        <f t="shared" si="38"/>
        <v>0.1429</v>
      </c>
      <c r="W169" s="30">
        <f t="shared" si="39"/>
        <v>1.4286999999999999</v>
      </c>
      <c r="X169" s="31">
        <f t="shared" si="41"/>
        <v>1.4286999999999999</v>
      </c>
      <c r="Y169" s="31">
        <v>1</v>
      </c>
      <c r="Z169" s="32" t="str">
        <f t="shared" si="40"/>
        <v>Low</v>
      </c>
    </row>
    <row r="170" spans="2:26" x14ac:dyDescent="0.2">
      <c r="B170" s="28" t="s">
        <v>625</v>
      </c>
      <c r="C170" s="28" t="s">
        <v>626</v>
      </c>
      <c r="D170" s="28" t="s">
        <v>274</v>
      </c>
      <c r="E170" s="28" t="str">
        <f>+_xlfn.XLOOKUP(D170,[1]Regiones!$B$4:$B$31,[1]Regiones!$G$4:$G$31)</f>
        <v>High</v>
      </c>
      <c r="F170" s="29">
        <f t="shared" si="28"/>
        <v>3</v>
      </c>
      <c r="G170" s="28">
        <f t="shared" si="31"/>
        <v>0.64290000000000003</v>
      </c>
      <c r="H170" s="28" t="s">
        <v>275</v>
      </c>
      <c r="I170" s="28">
        <f t="shared" si="32"/>
        <v>1</v>
      </c>
      <c r="J170" s="28">
        <f t="shared" si="33"/>
        <v>0.21429999999999999</v>
      </c>
      <c r="K170" s="28" t="s">
        <v>275</v>
      </c>
      <c r="L170" s="28">
        <f t="shared" si="34"/>
        <v>1</v>
      </c>
      <c r="M170" s="28">
        <f t="shared" si="35"/>
        <v>0.21429999999999999</v>
      </c>
      <c r="N170" s="28" t="s">
        <v>279</v>
      </c>
      <c r="O170" s="28">
        <f t="shared" si="29"/>
        <v>3</v>
      </c>
      <c r="P170" s="28">
        <f t="shared" si="36"/>
        <v>0.2142</v>
      </c>
      <c r="Q170" s="28" t="s">
        <v>279</v>
      </c>
      <c r="R170" s="28">
        <f t="shared" si="30"/>
        <v>3</v>
      </c>
      <c r="S170" s="28">
        <f t="shared" si="37"/>
        <v>0.42869999999999997</v>
      </c>
      <c r="T170" s="28" t="s">
        <v>627</v>
      </c>
      <c r="U170" s="28">
        <v>3</v>
      </c>
      <c r="V170" s="28">
        <f t="shared" si="38"/>
        <v>0.42869999999999997</v>
      </c>
      <c r="W170" s="30">
        <f t="shared" si="39"/>
        <v>2.1431</v>
      </c>
      <c r="X170" s="31">
        <f t="shared" si="41"/>
        <v>2.1431</v>
      </c>
      <c r="Y170" s="31">
        <v>2</v>
      </c>
      <c r="Z170" s="32" t="str">
        <f t="shared" si="40"/>
        <v>Medium</v>
      </c>
    </row>
    <row r="171" spans="2:26" x14ac:dyDescent="0.2">
      <c r="B171" s="28" t="s">
        <v>628</v>
      </c>
      <c r="C171" s="28" t="s">
        <v>629</v>
      </c>
      <c r="D171" s="28" t="s">
        <v>387</v>
      </c>
      <c r="E171" s="28" t="str">
        <f>+_xlfn.XLOOKUP(D171,[1]Regiones!$B$4:$B$31,[1]Regiones!$G$4:$G$31)</f>
        <v>High</v>
      </c>
      <c r="F171" s="29">
        <f t="shared" si="28"/>
        <v>3</v>
      </c>
      <c r="G171" s="28">
        <f t="shared" si="31"/>
        <v>0.64290000000000003</v>
      </c>
      <c r="H171" s="28" t="s">
        <v>275</v>
      </c>
      <c r="I171" s="28">
        <f t="shared" si="32"/>
        <v>1</v>
      </c>
      <c r="J171" s="28">
        <f t="shared" si="33"/>
        <v>0.21429999999999999</v>
      </c>
      <c r="K171" s="28" t="s">
        <v>275</v>
      </c>
      <c r="L171" s="28">
        <f t="shared" si="34"/>
        <v>1</v>
      </c>
      <c r="M171" s="28">
        <f t="shared" si="35"/>
        <v>0.21429999999999999</v>
      </c>
      <c r="N171" s="28" t="s">
        <v>275</v>
      </c>
      <c r="O171" s="28">
        <f t="shared" si="29"/>
        <v>1</v>
      </c>
      <c r="P171" s="28">
        <f t="shared" si="36"/>
        <v>7.1400000000000005E-2</v>
      </c>
      <c r="Q171" s="28" t="s">
        <v>275</v>
      </c>
      <c r="R171" s="28">
        <f t="shared" si="30"/>
        <v>1</v>
      </c>
      <c r="S171" s="28">
        <f t="shared" si="37"/>
        <v>0.1429</v>
      </c>
      <c r="T171" s="28" t="s">
        <v>276</v>
      </c>
      <c r="U171" s="28">
        <v>1</v>
      </c>
      <c r="V171" s="28">
        <f t="shared" si="38"/>
        <v>0.1429</v>
      </c>
      <c r="W171" s="30">
        <f t="shared" si="39"/>
        <v>1.4286999999999999</v>
      </c>
      <c r="X171" s="31">
        <f t="shared" si="41"/>
        <v>1.4286999999999999</v>
      </c>
      <c r="Y171" s="31">
        <v>1</v>
      </c>
      <c r="Z171" s="32" t="str">
        <f t="shared" si="40"/>
        <v>Low</v>
      </c>
    </row>
    <row r="172" spans="2:26" x14ac:dyDescent="0.2">
      <c r="B172" s="28" t="s">
        <v>630</v>
      </c>
      <c r="C172" s="28" t="s">
        <v>631</v>
      </c>
      <c r="D172" s="28" t="s">
        <v>274</v>
      </c>
      <c r="E172" s="28" t="str">
        <f>+_xlfn.XLOOKUP(D172,[1]Regiones!$B$4:$B$31,[1]Regiones!$G$4:$G$31)</f>
        <v>High</v>
      </c>
      <c r="F172" s="29">
        <f t="shared" si="28"/>
        <v>3</v>
      </c>
      <c r="G172" s="28">
        <f t="shared" si="31"/>
        <v>0.64290000000000003</v>
      </c>
      <c r="H172" s="28" t="s">
        <v>275</v>
      </c>
      <c r="I172" s="28">
        <f t="shared" si="32"/>
        <v>1</v>
      </c>
      <c r="J172" s="28">
        <f t="shared" si="33"/>
        <v>0.21429999999999999</v>
      </c>
      <c r="K172" s="28" t="s">
        <v>279</v>
      </c>
      <c r="L172" s="28">
        <f t="shared" si="34"/>
        <v>3</v>
      </c>
      <c r="M172" s="28">
        <f t="shared" si="35"/>
        <v>0.64290000000000003</v>
      </c>
      <c r="N172" s="28" t="s">
        <v>275</v>
      </c>
      <c r="O172" s="28">
        <f t="shared" si="29"/>
        <v>1</v>
      </c>
      <c r="P172" s="28">
        <f t="shared" si="36"/>
        <v>7.1400000000000005E-2</v>
      </c>
      <c r="Q172" s="28" t="s">
        <v>275</v>
      </c>
      <c r="R172" s="28">
        <f t="shared" si="30"/>
        <v>1</v>
      </c>
      <c r="S172" s="28">
        <f t="shared" si="37"/>
        <v>0.1429</v>
      </c>
      <c r="T172" s="28" t="s">
        <v>276</v>
      </c>
      <c r="U172" s="28">
        <v>1</v>
      </c>
      <c r="V172" s="28">
        <f t="shared" si="38"/>
        <v>0.1429</v>
      </c>
      <c r="W172" s="30">
        <f t="shared" si="39"/>
        <v>1.8573</v>
      </c>
      <c r="X172" s="31">
        <f t="shared" si="41"/>
        <v>1.8573</v>
      </c>
      <c r="Y172" s="31">
        <v>2</v>
      </c>
      <c r="Z172" s="32" t="str">
        <f t="shared" si="40"/>
        <v>Medium</v>
      </c>
    </row>
    <row r="173" spans="2:26" x14ac:dyDescent="0.2">
      <c r="B173" s="28" t="s">
        <v>632</v>
      </c>
      <c r="C173" s="28" t="s">
        <v>633</v>
      </c>
      <c r="D173" s="28" t="s">
        <v>558</v>
      </c>
      <c r="E173" s="28" t="str">
        <f>+_xlfn.XLOOKUP(D173,[1]Regiones!$B$4:$B$31,[1]Regiones!$G$4:$G$31)</f>
        <v>Low</v>
      </c>
      <c r="F173" s="29">
        <f t="shared" si="28"/>
        <v>1</v>
      </c>
      <c r="G173" s="28">
        <f t="shared" si="31"/>
        <v>0.21429999999999999</v>
      </c>
      <c r="H173" s="28" t="s">
        <v>275</v>
      </c>
      <c r="I173" s="28">
        <f t="shared" si="32"/>
        <v>1</v>
      </c>
      <c r="J173" s="28">
        <f t="shared" si="33"/>
        <v>0.21429999999999999</v>
      </c>
      <c r="K173" s="28" t="s">
        <v>275</v>
      </c>
      <c r="L173" s="28">
        <f t="shared" si="34"/>
        <v>1</v>
      </c>
      <c r="M173" s="28">
        <f t="shared" si="35"/>
        <v>0.21429999999999999</v>
      </c>
      <c r="N173" s="28" t="s">
        <v>275</v>
      </c>
      <c r="O173" s="28">
        <f t="shared" si="29"/>
        <v>1</v>
      </c>
      <c r="P173" s="28">
        <f t="shared" si="36"/>
        <v>7.1400000000000005E-2</v>
      </c>
      <c r="Q173" s="28" t="s">
        <v>275</v>
      </c>
      <c r="R173" s="28">
        <f t="shared" si="30"/>
        <v>1</v>
      </c>
      <c r="S173" s="28">
        <f t="shared" si="37"/>
        <v>0.1429</v>
      </c>
      <c r="T173" s="28" t="s">
        <v>276</v>
      </c>
      <c r="U173" s="28">
        <v>1</v>
      </c>
      <c r="V173" s="28">
        <f t="shared" si="38"/>
        <v>0.1429</v>
      </c>
      <c r="W173" s="30">
        <f t="shared" si="39"/>
        <v>1.0001</v>
      </c>
      <c r="X173" s="31">
        <f t="shared" si="41"/>
        <v>1.0001</v>
      </c>
      <c r="Y173" s="31">
        <v>1</v>
      </c>
      <c r="Z173" s="32" t="str">
        <f t="shared" si="40"/>
        <v>Low</v>
      </c>
    </row>
    <row r="174" spans="2:26" x14ac:dyDescent="0.2">
      <c r="B174" s="28" t="s">
        <v>634</v>
      </c>
      <c r="C174" s="28" t="s">
        <v>635</v>
      </c>
      <c r="D174" s="28" t="s">
        <v>274</v>
      </c>
      <c r="E174" s="28" t="str">
        <f>+_xlfn.XLOOKUP(D174,[1]Regiones!$B$4:$B$31,[1]Regiones!$G$4:$G$31)</f>
        <v>High</v>
      </c>
      <c r="F174" s="29">
        <f t="shared" si="28"/>
        <v>3</v>
      </c>
      <c r="G174" s="28">
        <f t="shared" si="31"/>
        <v>0.64290000000000003</v>
      </c>
      <c r="H174" s="28" t="s">
        <v>275</v>
      </c>
      <c r="I174" s="28">
        <f t="shared" si="32"/>
        <v>1</v>
      </c>
      <c r="J174" s="28">
        <f t="shared" si="33"/>
        <v>0.21429999999999999</v>
      </c>
      <c r="K174" s="28" t="s">
        <v>275</v>
      </c>
      <c r="L174" s="28">
        <f t="shared" si="34"/>
        <v>1</v>
      </c>
      <c r="M174" s="28">
        <f t="shared" si="35"/>
        <v>0.21429999999999999</v>
      </c>
      <c r="N174" s="28" t="s">
        <v>275</v>
      </c>
      <c r="O174" s="28">
        <f t="shared" si="29"/>
        <v>1</v>
      </c>
      <c r="P174" s="28">
        <f t="shared" si="36"/>
        <v>7.1400000000000005E-2</v>
      </c>
      <c r="Q174" s="28" t="s">
        <v>275</v>
      </c>
      <c r="R174" s="28">
        <f t="shared" si="30"/>
        <v>1</v>
      </c>
      <c r="S174" s="28">
        <f t="shared" si="37"/>
        <v>0.1429</v>
      </c>
      <c r="T174" s="28" t="s">
        <v>276</v>
      </c>
      <c r="U174" s="28">
        <v>1</v>
      </c>
      <c r="V174" s="28">
        <f t="shared" si="38"/>
        <v>0.1429</v>
      </c>
      <c r="W174" s="30">
        <f t="shared" si="39"/>
        <v>1.4286999999999999</v>
      </c>
      <c r="X174" s="31">
        <f t="shared" si="41"/>
        <v>1.4286999999999999</v>
      </c>
      <c r="Y174" s="31">
        <v>1</v>
      </c>
      <c r="Z174" s="32" t="str">
        <f t="shared" si="40"/>
        <v>Low</v>
      </c>
    </row>
    <row r="175" spans="2:26" x14ac:dyDescent="0.2">
      <c r="B175" s="28" t="s">
        <v>636</v>
      </c>
      <c r="C175" s="28" t="s">
        <v>637</v>
      </c>
      <c r="D175" s="28" t="s">
        <v>358</v>
      </c>
      <c r="E175" s="28" t="str">
        <f>+_xlfn.XLOOKUP(D175,[1]Regiones!$B$4:$B$31,[1]Regiones!$G$4:$G$31)</f>
        <v>High</v>
      </c>
      <c r="F175" s="29">
        <f t="shared" si="28"/>
        <v>3</v>
      </c>
      <c r="G175" s="28">
        <f t="shared" si="31"/>
        <v>0.64290000000000003</v>
      </c>
      <c r="H175" s="28" t="s">
        <v>275</v>
      </c>
      <c r="I175" s="28">
        <f t="shared" si="32"/>
        <v>1</v>
      </c>
      <c r="J175" s="28">
        <f t="shared" si="33"/>
        <v>0.21429999999999999</v>
      </c>
      <c r="K175" s="28" t="s">
        <v>275</v>
      </c>
      <c r="L175" s="28">
        <f t="shared" si="34"/>
        <v>1</v>
      </c>
      <c r="M175" s="28">
        <f t="shared" si="35"/>
        <v>0.21429999999999999</v>
      </c>
      <c r="N175" s="28" t="s">
        <v>279</v>
      </c>
      <c r="O175" s="28">
        <f t="shared" si="29"/>
        <v>3</v>
      </c>
      <c r="P175" s="28">
        <f t="shared" si="36"/>
        <v>0.2142</v>
      </c>
      <c r="Q175" s="28" t="s">
        <v>275</v>
      </c>
      <c r="R175" s="28">
        <f t="shared" si="30"/>
        <v>1</v>
      </c>
      <c r="S175" s="28">
        <f t="shared" si="37"/>
        <v>0.1429</v>
      </c>
      <c r="T175" s="28" t="s">
        <v>276</v>
      </c>
      <c r="U175" s="28">
        <v>1</v>
      </c>
      <c r="V175" s="28">
        <f t="shared" si="38"/>
        <v>0.1429</v>
      </c>
      <c r="W175" s="30">
        <f t="shared" si="39"/>
        <v>1.5714999999999999</v>
      </c>
      <c r="X175" s="31">
        <f t="shared" si="41"/>
        <v>1.5714999999999999</v>
      </c>
      <c r="Y175" s="31">
        <v>2</v>
      </c>
      <c r="Z175" s="32" t="str">
        <f t="shared" si="40"/>
        <v>Medium</v>
      </c>
    </row>
    <row r="176" spans="2:26" x14ac:dyDescent="0.2">
      <c r="B176" s="28" t="s">
        <v>638</v>
      </c>
      <c r="C176" s="28" t="s">
        <v>639</v>
      </c>
      <c r="D176" s="28" t="s">
        <v>358</v>
      </c>
      <c r="E176" s="28" t="str">
        <f>+_xlfn.XLOOKUP(D176,[1]Regiones!$B$4:$B$31,[1]Regiones!$G$4:$G$31)</f>
        <v>High</v>
      </c>
      <c r="F176" s="29">
        <f t="shared" si="28"/>
        <v>3</v>
      </c>
      <c r="G176" s="28">
        <f t="shared" si="31"/>
        <v>0.64290000000000003</v>
      </c>
      <c r="H176" s="28" t="s">
        <v>275</v>
      </c>
      <c r="I176" s="28">
        <f t="shared" si="32"/>
        <v>1</v>
      </c>
      <c r="J176" s="28">
        <f t="shared" si="33"/>
        <v>0.21429999999999999</v>
      </c>
      <c r="K176" s="28" t="s">
        <v>275</v>
      </c>
      <c r="L176" s="28">
        <f t="shared" si="34"/>
        <v>1</v>
      </c>
      <c r="M176" s="28">
        <f t="shared" si="35"/>
        <v>0.21429999999999999</v>
      </c>
      <c r="N176" s="28" t="s">
        <v>275</v>
      </c>
      <c r="O176" s="28">
        <f t="shared" si="29"/>
        <v>1</v>
      </c>
      <c r="P176" s="28">
        <f t="shared" si="36"/>
        <v>7.1400000000000005E-2</v>
      </c>
      <c r="Q176" s="28" t="s">
        <v>275</v>
      </c>
      <c r="R176" s="28">
        <f t="shared" si="30"/>
        <v>1</v>
      </c>
      <c r="S176" s="28">
        <f t="shared" si="37"/>
        <v>0.1429</v>
      </c>
      <c r="T176" s="28" t="s">
        <v>276</v>
      </c>
      <c r="U176" s="28">
        <v>1</v>
      </c>
      <c r="V176" s="28">
        <f t="shared" si="38"/>
        <v>0.1429</v>
      </c>
      <c r="W176" s="30">
        <f t="shared" si="39"/>
        <v>1.4286999999999999</v>
      </c>
      <c r="X176" s="31">
        <f t="shared" si="41"/>
        <v>1.4286999999999999</v>
      </c>
      <c r="Y176" s="31">
        <v>1</v>
      </c>
      <c r="Z176" s="32" t="str">
        <f t="shared" si="40"/>
        <v>Low</v>
      </c>
    </row>
    <row r="177" spans="2:26" x14ac:dyDescent="0.2">
      <c r="B177" s="28" t="s">
        <v>640</v>
      </c>
      <c r="C177" s="28" t="s">
        <v>641</v>
      </c>
      <c r="D177" s="28" t="s">
        <v>274</v>
      </c>
      <c r="E177" s="28" t="str">
        <f>+_xlfn.XLOOKUP(D177,[1]Regiones!$B$4:$B$31,[1]Regiones!$G$4:$G$31)</f>
        <v>High</v>
      </c>
      <c r="F177" s="29">
        <f t="shared" si="28"/>
        <v>3</v>
      </c>
      <c r="G177" s="28">
        <f t="shared" si="31"/>
        <v>0.64290000000000003</v>
      </c>
      <c r="H177" s="28" t="s">
        <v>275</v>
      </c>
      <c r="I177" s="28">
        <f t="shared" si="32"/>
        <v>1</v>
      </c>
      <c r="J177" s="28">
        <f t="shared" si="33"/>
        <v>0.21429999999999999</v>
      </c>
      <c r="K177" s="28" t="s">
        <v>275</v>
      </c>
      <c r="L177" s="28">
        <f t="shared" si="34"/>
        <v>1</v>
      </c>
      <c r="M177" s="28">
        <f t="shared" si="35"/>
        <v>0.21429999999999999</v>
      </c>
      <c r="N177" s="28" t="s">
        <v>275</v>
      </c>
      <c r="O177" s="28">
        <f t="shared" si="29"/>
        <v>1</v>
      </c>
      <c r="P177" s="28">
        <f t="shared" si="36"/>
        <v>7.1400000000000005E-2</v>
      </c>
      <c r="Q177" s="28" t="s">
        <v>275</v>
      </c>
      <c r="R177" s="28">
        <f t="shared" si="30"/>
        <v>1</v>
      </c>
      <c r="S177" s="28">
        <f t="shared" si="37"/>
        <v>0.1429</v>
      </c>
      <c r="T177" s="28" t="s">
        <v>276</v>
      </c>
      <c r="U177" s="28">
        <v>1</v>
      </c>
      <c r="V177" s="28">
        <f t="shared" si="38"/>
        <v>0.1429</v>
      </c>
      <c r="W177" s="30">
        <f t="shared" si="39"/>
        <v>1.4286999999999999</v>
      </c>
      <c r="X177" s="31">
        <f t="shared" si="41"/>
        <v>1.4286999999999999</v>
      </c>
      <c r="Y177" s="31">
        <v>1</v>
      </c>
      <c r="Z177" s="32" t="str">
        <f t="shared" si="40"/>
        <v>Low</v>
      </c>
    </row>
    <row r="178" spans="2:26" x14ac:dyDescent="0.2">
      <c r="B178" s="28" t="s">
        <v>642</v>
      </c>
      <c r="C178" s="28" t="s">
        <v>643</v>
      </c>
      <c r="D178" s="28" t="s">
        <v>274</v>
      </c>
      <c r="E178" s="28" t="str">
        <f>+_xlfn.XLOOKUP(D178,[1]Regiones!$B$4:$B$31,[1]Regiones!$G$4:$G$31)</f>
        <v>High</v>
      </c>
      <c r="F178" s="29">
        <f t="shared" si="28"/>
        <v>3</v>
      </c>
      <c r="G178" s="28">
        <f t="shared" si="31"/>
        <v>0.64290000000000003</v>
      </c>
      <c r="H178" s="28" t="s">
        <v>275</v>
      </c>
      <c r="I178" s="28">
        <f t="shared" si="32"/>
        <v>1</v>
      </c>
      <c r="J178" s="28">
        <f t="shared" si="33"/>
        <v>0.21429999999999999</v>
      </c>
      <c r="K178" s="28" t="s">
        <v>275</v>
      </c>
      <c r="L178" s="28">
        <f t="shared" si="34"/>
        <v>1</v>
      </c>
      <c r="M178" s="28">
        <f t="shared" si="35"/>
        <v>0.21429999999999999</v>
      </c>
      <c r="N178" s="28" t="s">
        <v>279</v>
      </c>
      <c r="O178" s="28">
        <f t="shared" si="29"/>
        <v>3</v>
      </c>
      <c r="P178" s="28">
        <f t="shared" si="36"/>
        <v>0.2142</v>
      </c>
      <c r="Q178" s="28" t="s">
        <v>279</v>
      </c>
      <c r="R178" s="28">
        <f t="shared" si="30"/>
        <v>3</v>
      </c>
      <c r="S178" s="28">
        <f t="shared" si="37"/>
        <v>0.42869999999999997</v>
      </c>
      <c r="T178" s="28" t="s">
        <v>276</v>
      </c>
      <c r="U178" s="28">
        <v>1</v>
      </c>
      <c r="V178" s="28">
        <f t="shared" si="38"/>
        <v>0.1429</v>
      </c>
      <c r="W178" s="30">
        <f t="shared" si="39"/>
        <v>1.8573</v>
      </c>
      <c r="X178" s="31">
        <f t="shared" si="41"/>
        <v>1.8573</v>
      </c>
      <c r="Y178" s="31">
        <v>2</v>
      </c>
      <c r="Z178" s="32" t="str">
        <f t="shared" si="40"/>
        <v>Medium</v>
      </c>
    </row>
    <row r="179" spans="2:26" x14ac:dyDescent="0.2">
      <c r="B179" s="28" t="s">
        <v>644</v>
      </c>
      <c r="C179" s="28" t="s">
        <v>645</v>
      </c>
      <c r="D179" s="28" t="s">
        <v>558</v>
      </c>
      <c r="E179" s="28" t="str">
        <f>+_xlfn.XLOOKUP(D179,[1]Regiones!$B$4:$B$31,[1]Regiones!$G$4:$G$31)</f>
        <v>Low</v>
      </c>
      <c r="F179" s="29">
        <f t="shared" si="28"/>
        <v>1</v>
      </c>
      <c r="G179" s="28">
        <f t="shared" si="31"/>
        <v>0.21429999999999999</v>
      </c>
      <c r="H179" s="28" t="s">
        <v>275</v>
      </c>
      <c r="I179" s="28">
        <f t="shared" si="32"/>
        <v>1</v>
      </c>
      <c r="J179" s="28">
        <f t="shared" si="33"/>
        <v>0.21429999999999999</v>
      </c>
      <c r="K179" s="28" t="s">
        <v>275</v>
      </c>
      <c r="L179" s="28">
        <f t="shared" si="34"/>
        <v>1</v>
      </c>
      <c r="M179" s="28">
        <f t="shared" si="35"/>
        <v>0.21429999999999999</v>
      </c>
      <c r="N179" s="28" t="s">
        <v>279</v>
      </c>
      <c r="O179" s="28">
        <f t="shared" si="29"/>
        <v>3</v>
      </c>
      <c r="P179" s="28">
        <f t="shared" si="36"/>
        <v>0.2142</v>
      </c>
      <c r="Q179" s="28" t="s">
        <v>279</v>
      </c>
      <c r="R179" s="28">
        <f t="shared" si="30"/>
        <v>3</v>
      </c>
      <c r="S179" s="28">
        <f t="shared" si="37"/>
        <v>0.42869999999999997</v>
      </c>
      <c r="T179" s="28" t="s">
        <v>276</v>
      </c>
      <c r="U179" s="28">
        <v>1</v>
      </c>
      <c r="V179" s="28">
        <f t="shared" si="38"/>
        <v>0.1429</v>
      </c>
      <c r="W179" s="30">
        <f t="shared" si="39"/>
        <v>1.4287000000000001</v>
      </c>
      <c r="X179" s="31">
        <f t="shared" si="41"/>
        <v>1.4287000000000001</v>
      </c>
      <c r="Y179" s="31">
        <v>1</v>
      </c>
      <c r="Z179" s="32" t="str">
        <f t="shared" si="40"/>
        <v>Low</v>
      </c>
    </row>
    <row r="180" spans="2:26" x14ac:dyDescent="0.2">
      <c r="B180" s="28" t="s">
        <v>646</v>
      </c>
      <c r="C180" s="28" t="s">
        <v>647</v>
      </c>
      <c r="D180" s="28" t="s">
        <v>274</v>
      </c>
      <c r="E180" s="28" t="str">
        <f>+_xlfn.XLOOKUP(D180,[1]Regiones!$B$4:$B$31,[1]Regiones!$G$4:$G$31)</f>
        <v>High</v>
      </c>
      <c r="F180" s="29">
        <f t="shared" si="28"/>
        <v>3</v>
      </c>
      <c r="G180" s="28">
        <f t="shared" si="31"/>
        <v>0.64290000000000003</v>
      </c>
      <c r="H180" s="28" t="s">
        <v>275</v>
      </c>
      <c r="I180" s="28">
        <f t="shared" si="32"/>
        <v>1</v>
      </c>
      <c r="J180" s="28">
        <f t="shared" si="33"/>
        <v>0.21429999999999999</v>
      </c>
      <c r="K180" s="28" t="s">
        <v>275</v>
      </c>
      <c r="L180" s="28">
        <f t="shared" si="34"/>
        <v>1</v>
      </c>
      <c r="M180" s="28">
        <f t="shared" si="35"/>
        <v>0.21429999999999999</v>
      </c>
      <c r="N180" s="28" t="s">
        <v>275</v>
      </c>
      <c r="O180" s="28">
        <f t="shared" si="29"/>
        <v>1</v>
      </c>
      <c r="P180" s="28">
        <f t="shared" si="36"/>
        <v>7.1400000000000005E-2</v>
      </c>
      <c r="Q180" s="28" t="s">
        <v>275</v>
      </c>
      <c r="R180" s="28">
        <f t="shared" si="30"/>
        <v>1</v>
      </c>
      <c r="S180" s="28">
        <f t="shared" si="37"/>
        <v>0.1429</v>
      </c>
      <c r="T180" s="28" t="s">
        <v>276</v>
      </c>
      <c r="U180" s="28">
        <v>1</v>
      </c>
      <c r="V180" s="28">
        <f t="shared" si="38"/>
        <v>0.1429</v>
      </c>
      <c r="W180" s="30">
        <f t="shared" si="39"/>
        <v>1.4286999999999999</v>
      </c>
      <c r="X180" s="31">
        <f t="shared" si="41"/>
        <v>1.4286999999999999</v>
      </c>
      <c r="Y180" s="31">
        <v>1</v>
      </c>
      <c r="Z180" s="32" t="str">
        <f t="shared" si="40"/>
        <v>Low</v>
      </c>
    </row>
    <row r="181" spans="2:26" x14ac:dyDescent="0.2">
      <c r="B181" s="39" t="s">
        <v>648</v>
      </c>
      <c r="C181" s="28" t="s">
        <v>649</v>
      </c>
      <c r="D181" s="28" t="s">
        <v>274</v>
      </c>
      <c r="E181" s="28" t="str">
        <f>+_xlfn.XLOOKUP(D181,[1]Regiones!$B$4:$B$31,[1]Regiones!$G$4:$G$31)</f>
        <v>High</v>
      </c>
      <c r="F181" s="29">
        <f t="shared" si="28"/>
        <v>3</v>
      </c>
      <c r="G181" s="28">
        <f t="shared" si="31"/>
        <v>0.64290000000000003</v>
      </c>
      <c r="H181" s="28" t="s">
        <v>275</v>
      </c>
      <c r="I181" s="28">
        <f t="shared" si="32"/>
        <v>1</v>
      </c>
      <c r="J181" s="28">
        <f t="shared" si="33"/>
        <v>0.21429999999999999</v>
      </c>
      <c r="K181" s="28" t="s">
        <v>275</v>
      </c>
      <c r="L181" s="28">
        <f t="shared" si="34"/>
        <v>1</v>
      </c>
      <c r="M181" s="28">
        <f t="shared" si="35"/>
        <v>0.21429999999999999</v>
      </c>
      <c r="N181" s="28" t="s">
        <v>275</v>
      </c>
      <c r="O181" s="28">
        <f t="shared" si="29"/>
        <v>1</v>
      </c>
      <c r="P181" s="28">
        <f t="shared" si="36"/>
        <v>7.1400000000000005E-2</v>
      </c>
      <c r="Q181" s="28" t="s">
        <v>275</v>
      </c>
      <c r="R181" s="28">
        <f t="shared" si="30"/>
        <v>1</v>
      </c>
      <c r="S181" s="28">
        <f t="shared" si="37"/>
        <v>0.1429</v>
      </c>
      <c r="T181" s="28" t="s">
        <v>276</v>
      </c>
      <c r="U181" s="28">
        <v>1</v>
      </c>
      <c r="V181" s="28">
        <f t="shared" si="38"/>
        <v>0.1429</v>
      </c>
      <c r="W181" s="30">
        <f t="shared" si="39"/>
        <v>1.4286999999999999</v>
      </c>
      <c r="X181" s="31">
        <f t="shared" si="41"/>
        <v>1.4286999999999999</v>
      </c>
      <c r="Y181" s="31">
        <v>1</v>
      </c>
      <c r="Z181" s="32" t="str">
        <f t="shared" si="40"/>
        <v>Low</v>
      </c>
    </row>
    <row r="182" spans="2:26" x14ac:dyDescent="0.2">
      <c r="B182" s="39" t="s">
        <v>650</v>
      </c>
      <c r="C182" s="28" t="s">
        <v>651</v>
      </c>
      <c r="D182" s="28" t="s">
        <v>274</v>
      </c>
      <c r="E182" s="28" t="str">
        <f>+_xlfn.XLOOKUP(D182,[1]Regiones!$B$4:$B$31,[1]Regiones!$G$4:$G$31)</f>
        <v>High</v>
      </c>
      <c r="F182" s="29">
        <f t="shared" si="28"/>
        <v>3</v>
      </c>
      <c r="G182" s="28">
        <f t="shared" si="31"/>
        <v>0.64290000000000003</v>
      </c>
      <c r="H182" s="28" t="s">
        <v>275</v>
      </c>
      <c r="I182" s="28">
        <f t="shared" si="32"/>
        <v>1</v>
      </c>
      <c r="J182" s="28">
        <f t="shared" si="33"/>
        <v>0.21429999999999999</v>
      </c>
      <c r="K182" s="28" t="s">
        <v>275</v>
      </c>
      <c r="L182" s="28">
        <f t="shared" si="34"/>
        <v>1</v>
      </c>
      <c r="M182" s="28">
        <f t="shared" si="35"/>
        <v>0.21429999999999999</v>
      </c>
      <c r="N182" s="28" t="s">
        <v>275</v>
      </c>
      <c r="O182" s="28">
        <f t="shared" si="29"/>
        <v>1</v>
      </c>
      <c r="P182" s="28">
        <f t="shared" si="36"/>
        <v>7.1400000000000005E-2</v>
      </c>
      <c r="Q182" s="28" t="s">
        <v>275</v>
      </c>
      <c r="R182" s="28">
        <f t="shared" si="30"/>
        <v>1</v>
      </c>
      <c r="S182" s="28">
        <f t="shared" si="37"/>
        <v>0.1429</v>
      </c>
      <c r="T182" s="28" t="s">
        <v>276</v>
      </c>
      <c r="U182" s="28">
        <v>1</v>
      </c>
      <c r="V182" s="28">
        <f t="shared" si="38"/>
        <v>0.1429</v>
      </c>
      <c r="W182" s="30">
        <f t="shared" si="39"/>
        <v>1.4286999999999999</v>
      </c>
      <c r="X182" s="31">
        <f t="shared" si="41"/>
        <v>1.4286999999999999</v>
      </c>
      <c r="Y182" s="31">
        <v>1</v>
      </c>
      <c r="Z182" s="32" t="str">
        <f t="shared" si="40"/>
        <v>Low</v>
      </c>
    </row>
    <row r="183" spans="2:26" x14ac:dyDescent="0.2">
      <c r="B183" s="39" t="s">
        <v>652</v>
      </c>
      <c r="C183" s="28" t="s">
        <v>653</v>
      </c>
      <c r="D183" s="28" t="s">
        <v>274</v>
      </c>
      <c r="E183" s="28" t="str">
        <f>+_xlfn.XLOOKUP(D183,[1]Regiones!$B$4:$B$31,[1]Regiones!$G$4:$G$31)</f>
        <v>High</v>
      </c>
      <c r="F183" s="29">
        <f t="shared" si="28"/>
        <v>3</v>
      </c>
      <c r="G183" s="28">
        <f t="shared" si="31"/>
        <v>0.64290000000000003</v>
      </c>
      <c r="H183" s="28" t="s">
        <v>275</v>
      </c>
      <c r="I183" s="28">
        <f t="shared" si="32"/>
        <v>1</v>
      </c>
      <c r="J183" s="28">
        <f t="shared" si="33"/>
        <v>0.21429999999999999</v>
      </c>
      <c r="K183" s="28" t="s">
        <v>275</v>
      </c>
      <c r="L183" s="28">
        <f t="shared" si="34"/>
        <v>1</v>
      </c>
      <c r="M183" s="28">
        <f t="shared" si="35"/>
        <v>0.21429999999999999</v>
      </c>
      <c r="N183" s="28" t="s">
        <v>279</v>
      </c>
      <c r="O183" s="28">
        <f t="shared" si="29"/>
        <v>3</v>
      </c>
      <c r="P183" s="28">
        <f t="shared" si="36"/>
        <v>0.2142</v>
      </c>
      <c r="Q183" s="28" t="s">
        <v>275</v>
      </c>
      <c r="R183" s="28">
        <f t="shared" si="30"/>
        <v>1</v>
      </c>
      <c r="S183" s="28">
        <f t="shared" si="37"/>
        <v>0.1429</v>
      </c>
      <c r="T183" s="28" t="s">
        <v>276</v>
      </c>
      <c r="U183" s="28">
        <v>1</v>
      </c>
      <c r="V183" s="28">
        <f t="shared" si="38"/>
        <v>0.1429</v>
      </c>
      <c r="W183" s="30">
        <f t="shared" si="39"/>
        <v>1.5714999999999999</v>
      </c>
      <c r="X183" s="31">
        <f t="shared" si="41"/>
        <v>1.5714999999999999</v>
      </c>
      <c r="Y183" s="31">
        <v>2</v>
      </c>
      <c r="Z183" s="32" t="str">
        <f t="shared" si="40"/>
        <v>Medium</v>
      </c>
    </row>
    <row r="184" spans="2:26" x14ac:dyDescent="0.2">
      <c r="B184" s="39" t="s">
        <v>654</v>
      </c>
      <c r="C184" s="28" t="s">
        <v>655</v>
      </c>
      <c r="D184" s="28" t="s">
        <v>274</v>
      </c>
      <c r="E184" s="28" t="str">
        <f>+_xlfn.XLOOKUP(D184,[1]Regiones!$B$4:$B$31,[1]Regiones!$G$4:$G$31)</f>
        <v>High</v>
      </c>
      <c r="F184" s="29">
        <f t="shared" si="28"/>
        <v>3</v>
      </c>
      <c r="G184" s="28">
        <f t="shared" si="31"/>
        <v>0.64290000000000003</v>
      </c>
      <c r="H184" s="33" t="s">
        <v>275</v>
      </c>
      <c r="I184" s="28">
        <f t="shared" si="32"/>
        <v>1</v>
      </c>
      <c r="J184" s="28">
        <f t="shared" si="33"/>
        <v>0.21429999999999999</v>
      </c>
      <c r="K184" s="33" t="s">
        <v>275</v>
      </c>
      <c r="L184" s="28">
        <f t="shared" si="34"/>
        <v>1</v>
      </c>
      <c r="M184" s="28">
        <f t="shared" si="35"/>
        <v>0.21429999999999999</v>
      </c>
      <c r="N184" s="33" t="s">
        <v>275</v>
      </c>
      <c r="O184" s="28">
        <f t="shared" si="29"/>
        <v>1</v>
      </c>
      <c r="P184" s="28">
        <f t="shared" si="36"/>
        <v>7.1400000000000005E-2</v>
      </c>
      <c r="Q184" s="28" t="s">
        <v>275</v>
      </c>
      <c r="R184" s="28">
        <f t="shared" si="30"/>
        <v>1</v>
      </c>
      <c r="S184" s="28">
        <f t="shared" si="37"/>
        <v>0.1429</v>
      </c>
      <c r="T184" s="28" t="s">
        <v>276</v>
      </c>
      <c r="U184" s="28">
        <v>1</v>
      </c>
      <c r="V184" s="28">
        <f t="shared" si="38"/>
        <v>0.1429</v>
      </c>
      <c r="W184" s="30">
        <f t="shared" si="39"/>
        <v>1.4286999999999999</v>
      </c>
      <c r="X184" s="31">
        <f t="shared" si="41"/>
        <v>1.4286999999999999</v>
      </c>
      <c r="Y184" s="31">
        <v>1</v>
      </c>
      <c r="Z184" s="32" t="str">
        <f t="shared" si="40"/>
        <v>Low</v>
      </c>
    </row>
    <row r="185" spans="2:26" x14ac:dyDescent="0.2">
      <c r="B185" s="39" t="s">
        <v>656</v>
      </c>
      <c r="C185" s="40">
        <v>20603166320</v>
      </c>
      <c r="D185" s="28" t="s">
        <v>316</v>
      </c>
      <c r="E185" s="28" t="str">
        <f>+_xlfn.XLOOKUP(D185,[1]Regiones!$B$4:$B$31,[1]Regiones!$G$4:$G$31)</f>
        <v>High</v>
      </c>
      <c r="F185" s="29">
        <f t="shared" si="28"/>
        <v>3</v>
      </c>
      <c r="G185" s="28">
        <f t="shared" si="31"/>
        <v>0.64290000000000003</v>
      </c>
      <c r="H185" s="28" t="s">
        <v>275</v>
      </c>
      <c r="I185" s="28">
        <f t="shared" si="32"/>
        <v>1</v>
      </c>
      <c r="J185" s="28">
        <f t="shared" si="33"/>
        <v>0.21429999999999999</v>
      </c>
      <c r="K185" s="28" t="s">
        <v>275</v>
      </c>
      <c r="L185" s="28">
        <f t="shared" si="34"/>
        <v>1</v>
      </c>
      <c r="M185" s="28">
        <f t="shared" si="35"/>
        <v>0.21429999999999999</v>
      </c>
      <c r="N185" s="28" t="s">
        <v>279</v>
      </c>
      <c r="O185" s="28">
        <f t="shared" si="29"/>
        <v>3</v>
      </c>
      <c r="P185" s="28">
        <f t="shared" si="36"/>
        <v>0.2142</v>
      </c>
      <c r="Q185" s="28" t="s">
        <v>279</v>
      </c>
      <c r="R185" s="28">
        <f t="shared" si="30"/>
        <v>3</v>
      </c>
      <c r="S185" s="28">
        <f t="shared" si="37"/>
        <v>0.42869999999999997</v>
      </c>
      <c r="T185" s="28" t="s">
        <v>276</v>
      </c>
      <c r="U185" s="28">
        <v>1</v>
      </c>
      <c r="V185" s="28">
        <f t="shared" si="38"/>
        <v>0.1429</v>
      </c>
      <c r="W185" s="30">
        <f t="shared" si="39"/>
        <v>1.8573</v>
      </c>
      <c r="X185" s="31">
        <f t="shared" si="41"/>
        <v>1.8573</v>
      </c>
      <c r="Y185" s="31">
        <v>2</v>
      </c>
      <c r="Z185" s="32" t="str">
        <f t="shared" si="40"/>
        <v>Medium</v>
      </c>
    </row>
    <row r="186" spans="2:26" x14ac:dyDescent="0.2">
      <c r="B186" s="39" t="s">
        <v>657</v>
      </c>
      <c r="C186" s="40">
        <v>20603667451</v>
      </c>
      <c r="D186" s="28" t="s">
        <v>274</v>
      </c>
      <c r="E186" s="28" t="str">
        <f>+_xlfn.XLOOKUP(D186,[1]Regiones!$B$4:$B$31,[1]Regiones!$G$4:$G$31)</f>
        <v>High</v>
      </c>
      <c r="F186" s="29">
        <f t="shared" si="28"/>
        <v>3</v>
      </c>
      <c r="G186" s="28">
        <f t="shared" si="31"/>
        <v>0.64290000000000003</v>
      </c>
      <c r="H186" s="28" t="s">
        <v>275</v>
      </c>
      <c r="I186" s="28">
        <f t="shared" si="32"/>
        <v>1</v>
      </c>
      <c r="J186" s="28">
        <f t="shared" si="33"/>
        <v>0.21429999999999999</v>
      </c>
      <c r="K186" s="28" t="s">
        <v>275</v>
      </c>
      <c r="L186" s="28">
        <f t="shared" si="34"/>
        <v>1</v>
      </c>
      <c r="M186" s="28">
        <f t="shared" si="35"/>
        <v>0.21429999999999999</v>
      </c>
      <c r="N186" s="28" t="s">
        <v>279</v>
      </c>
      <c r="O186" s="28">
        <f t="shared" si="29"/>
        <v>3</v>
      </c>
      <c r="P186" s="28">
        <f t="shared" si="36"/>
        <v>0.2142</v>
      </c>
      <c r="Q186" s="28" t="s">
        <v>279</v>
      </c>
      <c r="R186" s="28">
        <f t="shared" si="30"/>
        <v>3</v>
      </c>
      <c r="S186" s="28">
        <f t="shared" si="37"/>
        <v>0.42869999999999997</v>
      </c>
      <c r="T186" s="28" t="s">
        <v>276</v>
      </c>
      <c r="U186" s="28">
        <v>1</v>
      </c>
      <c r="V186" s="28">
        <f t="shared" si="38"/>
        <v>0.1429</v>
      </c>
      <c r="W186" s="30">
        <f t="shared" si="39"/>
        <v>1.8573</v>
      </c>
      <c r="X186" s="31">
        <f t="shared" si="41"/>
        <v>1.8573</v>
      </c>
      <c r="Y186" s="31">
        <v>2</v>
      </c>
      <c r="Z186" s="32" t="str">
        <f t="shared" si="40"/>
        <v>Medium</v>
      </c>
    </row>
    <row r="187" spans="2:26" x14ac:dyDescent="0.2">
      <c r="B187" s="39" t="s">
        <v>658</v>
      </c>
      <c r="C187" s="40">
        <v>20519093724</v>
      </c>
      <c r="D187" s="28" t="s">
        <v>274</v>
      </c>
      <c r="E187" s="28" t="str">
        <f>+_xlfn.XLOOKUP(D187,[1]Regiones!$B$4:$B$31,[1]Regiones!$G$4:$G$31)</f>
        <v>High</v>
      </c>
      <c r="F187" s="29">
        <f t="shared" si="28"/>
        <v>3</v>
      </c>
      <c r="G187" s="28">
        <f t="shared" si="31"/>
        <v>0.64290000000000003</v>
      </c>
      <c r="H187" s="28" t="s">
        <v>275</v>
      </c>
      <c r="I187" s="28">
        <f t="shared" si="32"/>
        <v>1</v>
      </c>
      <c r="J187" s="28">
        <f t="shared" si="33"/>
        <v>0.21429999999999999</v>
      </c>
      <c r="K187" s="28" t="s">
        <v>279</v>
      </c>
      <c r="L187" s="28">
        <f t="shared" si="34"/>
        <v>3</v>
      </c>
      <c r="M187" s="28">
        <f t="shared" si="35"/>
        <v>0.64290000000000003</v>
      </c>
      <c r="N187" s="28" t="s">
        <v>275</v>
      </c>
      <c r="O187" s="28">
        <f t="shared" si="29"/>
        <v>1</v>
      </c>
      <c r="P187" s="28">
        <f t="shared" si="36"/>
        <v>7.1400000000000005E-2</v>
      </c>
      <c r="Q187" s="28" t="s">
        <v>275</v>
      </c>
      <c r="R187" s="28">
        <f t="shared" si="30"/>
        <v>1</v>
      </c>
      <c r="S187" s="28">
        <f t="shared" si="37"/>
        <v>0.1429</v>
      </c>
      <c r="T187" s="28" t="s">
        <v>276</v>
      </c>
      <c r="U187" s="28">
        <v>1</v>
      </c>
      <c r="V187" s="28">
        <f t="shared" si="38"/>
        <v>0.1429</v>
      </c>
      <c r="W187" s="30">
        <f t="shared" si="39"/>
        <v>1.8573</v>
      </c>
      <c r="X187" s="31">
        <f t="shared" si="41"/>
        <v>1.8573</v>
      </c>
      <c r="Y187" s="31">
        <v>2</v>
      </c>
      <c r="Z187" s="32" t="str">
        <f t="shared" si="40"/>
        <v>Medium</v>
      </c>
    </row>
    <row r="188" spans="2:26" x14ac:dyDescent="0.2">
      <c r="B188" s="39" t="s">
        <v>659</v>
      </c>
      <c r="C188" s="40">
        <v>20610118217</v>
      </c>
      <c r="D188" s="28" t="s">
        <v>274</v>
      </c>
      <c r="E188" s="28" t="str">
        <f>+_xlfn.XLOOKUP(D188,[1]Regiones!$B$4:$B$31,[1]Regiones!$G$4:$G$31)</f>
        <v>High</v>
      </c>
      <c r="F188" s="29">
        <f t="shared" si="28"/>
        <v>3</v>
      </c>
      <c r="G188" s="28">
        <f t="shared" si="31"/>
        <v>0.64290000000000003</v>
      </c>
      <c r="H188" s="28" t="s">
        <v>275</v>
      </c>
      <c r="I188" s="28">
        <f t="shared" si="32"/>
        <v>1</v>
      </c>
      <c r="J188" s="28">
        <f t="shared" si="33"/>
        <v>0.21429999999999999</v>
      </c>
      <c r="K188" s="28" t="s">
        <v>275</v>
      </c>
      <c r="L188" s="28">
        <f t="shared" si="34"/>
        <v>1</v>
      </c>
      <c r="M188" s="28">
        <f t="shared" si="35"/>
        <v>0.21429999999999999</v>
      </c>
      <c r="N188" s="28" t="s">
        <v>275</v>
      </c>
      <c r="O188" s="28">
        <f t="shared" si="29"/>
        <v>1</v>
      </c>
      <c r="P188" s="28">
        <f t="shared" si="36"/>
        <v>7.1400000000000005E-2</v>
      </c>
      <c r="Q188" s="28" t="s">
        <v>275</v>
      </c>
      <c r="R188" s="28">
        <f t="shared" si="30"/>
        <v>1</v>
      </c>
      <c r="S188" s="28">
        <f t="shared" si="37"/>
        <v>0.1429</v>
      </c>
      <c r="T188" s="28" t="s">
        <v>276</v>
      </c>
      <c r="U188" s="28">
        <v>1</v>
      </c>
      <c r="V188" s="28">
        <f t="shared" si="38"/>
        <v>0.1429</v>
      </c>
      <c r="W188" s="30">
        <f t="shared" si="39"/>
        <v>1.4286999999999999</v>
      </c>
      <c r="X188" s="31">
        <f t="shared" si="41"/>
        <v>1.4286999999999999</v>
      </c>
      <c r="Y188" s="31">
        <v>1</v>
      </c>
      <c r="Z188" s="32" t="str">
        <f t="shared" si="40"/>
        <v>Low</v>
      </c>
    </row>
    <row r="189" spans="2:26" x14ac:dyDescent="0.2">
      <c r="B189" s="33" t="s">
        <v>660</v>
      </c>
      <c r="C189" s="40">
        <v>20607777170</v>
      </c>
      <c r="D189" s="28" t="s">
        <v>274</v>
      </c>
      <c r="E189" s="28" t="str">
        <f>+_xlfn.XLOOKUP(D189,[1]Regiones!$B$4:$B$31,[1]Regiones!$G$4:$G$31)</f>
        <v>High</v>
      </c>
      <c r="F189" s="29">
        <f t="shared" si="28"/>
        <v>3</v>
      </c>
      <c r="G189" s="28">
        <f t="shared" si="31"/>
        <v>0.64290000000000003</v>
      </c>
      <c r="H189" s="28" t="s">
        <v>275</v>
      </c>
      <c r="I189" s="28">
        <f t="shared" si="32"/>
        <v>1</v>
      </c>
      <c r="J189" s="28">
        <f t="shared" si="33"/>
        <v>0.21429999999999999</v>
      </c>
      <c r="K189" s="28" t="s">
        <v>275</v>
      </c>
      <c r="L189" s="28">
        <f t="shared" si="34"/>
        <v>1</v>
      </c>
      <c r="M189" s="28">
        <f t="shared" si="35"/>
        <v>0.21429999999999999</v>
      </c>
      <c r="N189" s="28" t="s">
        <v>279</v>
      </c>
      <c r="O189" s="28">
        <f t="shared" si="29"/>
        <v>3</v>
      </c>
      <c r="P189" s="28">
        <f t="shared" si="36"/>
        <v>0.2142</v>
      </c>
      <c r="Q189" s="28" t="s">
        <v>279</v>
      </c>
      <c r="R189" s="28">
        <f t="shared" si="30"/>
        <v>3</v>
      </c>
      <c r="S189" s="28">
        <f t="shared" si="37"/>
        <v>0.42869999999999997</v>
      </c>
      <c r="T189" s="28" t="s">
        <v>276</v>
      </c>
      <c r="U189" s="28">
        <v>1</v>
      </c>
      <c r="V189" s="28">
        <f t="shared" si="38"/>
        <v>0.1429</v>
      </c>
      <c r="W189" s="30">
        <f t="shared" si="39"/>
        <v>1.8573</v>
      </c>
      <c r="X189" s="31">
        <f t="shared" si="41"/>
        <v>1.8573</v>
      </c>
      <c r="Y189" s="31">
        <v>2</v>
      </c>
      <c r="Z189" s="32" t="str">
        <f t="shared" si="40"/>
        <v>Medium</v>
      </c>
    </row>
    <row r="190" spans="2:26" x14ac:dyDescent="0.2">
      <c r="B190" s="33" t="s">
        <v>661</v>
      </c>
      <c r="C190" s="40">
        <v>20544855736</v>
      </c>
      <c r="D190" s="28" t="s">
        <v>274</v>
      </c>
      <c r="E190" s="28" t="str">
        <f>+_xlfn.XLOOKUP(D190,[1]Regiones!$B$4:$B$31,[1]Regiones!$G$4:$G$31)</f>
        <v>High</v>
      </c>
      <c r="F190" s="29">
        <f t="shared" si="28"/>
        <v>3</v>
      </c>
      <c r="G190" s="28">
        <f t="shared" si="31"/>
        <v>0.64290000000000003</v>
      </c>
      <c r="H190" s="28" t="s">
        <v>275</v>
      </c>
      <c r="I190" s="28">
        <f t="shared" si="32"/>
        <v>1</v>
      </c>
      <c r="J190" s="28">
        <f t="shared" si="33"/>
        <v>0.21429999999999999</v>
      </c>
      <c r="K190" s="28" t="s">
        <v>275</v>
      </c>
      <c r="L190" s="28">
        <f t="shared" si="34"/>
        <v>1</v>
      </c>
      <c r="M190" s="28">
        <f t="shared" si="35"/>
        <v>0.21429999999999999</v>
      </c>
      <c r="N190" s="28" t="s">
        <v>279</v>
      </c>
      <c r="O190" s="28">
        <f t="shared" si="29"/>
        <v>3</v>
      </c>
      <c r="P190" s="28">
        <f t="shared" si="36"/>
        <v>0.2142</v>
      </c>
      <c r="Q190" s="28" t="s">
        <v>279</v>
      </c>
      <c r="R190" s="28">
        <f t="shared" si="30"/>
        <v>3</v>
      </c>
      <c r="S190" s="28">
        <f t="shared" si="37"/>
        <v>0.42869999999999997</v>
      </c>
      <c r="T190" s="28" t="s">
        <v>276</v>
      </c>
      <c r="U190" s="28">
        <v>1</v>
      </c>
      <c r="V190" s="28">
        <f t="shared" si="38"/>
        <v>0.1429</v>
      </c>
      <c r="W190" s="30">
        <f t="shared" si="39"/>
        <v>1.8573</v>
      </c>
      <c r="X190" s="31">
        <f t="shared" si="41"/>
        <v>1.8573</v>
      </c>
      <c r="Y190" s="31">
        <v>2</v>
      </c>
      <c r="Z190" s="32" t="str">
        <f t="shared" si="40"/>
        <v>Medium</v>
      </c>
    </row>
    <row r="191" spans="2:26" x14ac:dyDescent="0.2">
      <c r="B191" s="33" t="s">
        <v>662</v>
      </c>
      <c r="C191" s="40">
        <v>20610088695</v>
      </c>
      <c r="D191" s="28" t="s">
        <v>274</v>
      </c>
      <c r="E191" s="28" t="str">
        <f>+_xlfn.XLOOKUP(D191,[1]Regiones!$B$4:$B$31,[1]Regiones!$G$4:$G$31)</f>
        <v>High</v>
      </c>
      <c r="F191" s="29">
        <f t="shared" si="28"/>
        <v>3</v>
      </c>
      <c r="G191" s="28">
        <f t="shared" si="31"/>
        <v>0.64290000000000003</v>
      </c>
      <c r="H191" s="28" t="s">
        <v>275</v>
      </c>
      <c r="I191" s="28">
        <f t="shared" si="32"/>
        <v>1</v>
      </c>
      <c r="J191" s="28">
        <f t="shared" si="33"/>
        <v>0.21429999999999999</v>
      </c>
      <c r="K191" s="28" t="s">
        <v>275</v>
      </c>
      <c r="L191" s="28">
        <f t="shared" si="34"/>
        <v>1</v>
      </c>
      <c r="M191" s="28">
        <f t="shared" si="35"/>
        <v>0.21429999999999999</v>
      </c>
      <c r="N191" s="28" t="s">
        <v>279</v>
      </c>
      <c r="O191" s="28">
        <f t="shared" si="29"/>
        <v>3</v>
      </c>
      <c r="P191" s="28">
        <f t="shared" si="36"/>
        <v>0.2142</v>
      </c>
      <c r="Q191" s="28" t="s">
        <v>279</v>
      </c>
      <c r="R191" s="28">
        <f t="shared" si="30"/>
        <v>3</v>
      </c>
      <c r="S191" s="28">
        <f t="shared" si="37"/>
        <v>0.42869999999999997</v>
      </c>
      <c r="T191" s="28" t="s">
        <v>276</v>
      </c>
      <c r="U191" s="28">
        <v>1</v>
      </c>
      <c r="V191" s="28">
        <f t="shared" si="38"/>
        <v>0.1429</v>
      </c>
      <c r="W191" s="30">
        <f t="shared" si="39"/>
        <v>1.8573</v>
      </c>
      <c r="X191" s="31">
        <f t="shared" si="41"/>
        <v>1.8573</v>
      </c>
      <c r="Y191" s="31">
        <v>2</v>
      </c>
      <c r="Z191" s="32" t="str">
        <f t="shared" si="40"/>
        <v>Medium</v>
      </c>
    </row>
    <row r="192" spans="2:26" x14ac:dyDescent="0.2">
      <c r="B192" s="33" t="s">
        <v>663</v>
      </c>
      <c r="C192" s="40">
        <v>20611578785</v>
      </c>
      <c r="D192" s="28" t="s">
        <v>274</v>
      </c>
      <c r="E192" s="28" t="str">
        <f>+_xlfn.XLOOKUP(D192,[1]Regiones!$B$4:$B$31,[1]Regiones!$G$4:$G$31)</f>
        <v>High</v>
      </c>
      <c r="F192" s="29">
        <f t="shared" si="28"/>
        <v>3</v>
      </c>
      <c r="G192" s="28">
        <f t="shared" si="31"/>
        <v>0.64290000000000003</v>
      </c>
      <c r="H192" s="28" t="s">
        <v>275</v>
      </c>
      <c r="I192" s="28">
        <f t="shared" si="32"/>
        <v>1</v>
      </c>
      <c r="J192" s="28">
        <f t="shared" si="33"/>
        <v>0.21429999999999999</v>
      </c>
      <c r="K192" s="28" t="s">
        <v>275</v>
      </c>
      <c r="L192" s="28">
        <f t="shared" si="34"/>
        <v>1</v>
      </c>
      <c r="M192" s="28">
        <f t="shared" si="35"/>
        <v>0.21429999999999999</v>
      </c>
      <c r="N192" s="28" t="s">
        <v>279</v>
      </c>
      <c r="O192" s="28">
        <f t="shared" si="29"/>
        <v>3</v>
      </c>
      <c r="P192" s="28">
        <f t="shared" si="36"/>
        <v>0.2142</v>
      </c>
      <c r="Q192" s="28" t="s">
        <v>279</v>
      </c>
      <c r="R192" s="28">
        <f t="shared" si="30"/>
        <v>3</v>
      </c>
      <c r="S192" s="28">
        <f t="shared" si="37"/>
        <v>0.42869999999999997</v>
      </c>
      <c r="T192" s="28" t="s">
        <v>276</v>
      </c>
      <c r="U192" s="28">
        <v>1</v>
      </c>
      <c r="V192" s="28">
        <f t="shared" si="38"/>
        <v>0.1429</v>
      </c>
      <c r="W192" s="30">
        <f t="shared" si="39"/>
        <v>1.8573</v>
      </c>
      <c r="X192" s="31">
        <f t="shared" si="41"/>
        <v>1.8573</v>
      </c>
      <c r="Y192" s="31">
        <v>2</v>
      </c>
      <c r="Z192" s="32" t="str">
        <f t="shared" si="40"/>
        <v>Medium</v>
      </c>
    </row>
    <row r="193" spans="2:26" x14ac:dyDescent="0.2">
      <c r="B193" s="33" t="s">
        <v>664</v>
      </c>
      <c r="C193" s="40">
        <v>20614375745</v>
      </c>
      <c r="D193" s="28" t="s">
        <v>274</v>
      </c>
      <c r="E193" s="28" t="str">
        <f>+_xlfn.XLOOKUP(D193,[1]Regiones!$B$4:$B$31,[1]Regiones!$G$4:$G$31)</f>
        <v>High</v>
      </c>
      <c r="F193" s="29">
        <f t="shared" si="28"/>
        <v>3</v>
      </c>
      <c r="G193" s="28">
        <f t="shared" si="31"/>
        <v>0.64290000000000003</v>
      </c>
      <c r="H193" s="28" t="s">
        <v>275</v>
      </c>
      <c r="I193" s="28">
        <f t="shared" si="32"/>
        <v>1</v>
      </c>
      <c r="J193" s="28">
        <f t="shared" si="33"/>
        <v>0.21429999999999999</v>
      </c>
      <c r="K193" s="28" t="s">
        <v>275</v>
      </c>
      <c r="L193" s="28">
        <f t="shared" si="34"/>
        <v>1</v>
      </c>
      <c r="M193" s="28">
        <f t="shared" si="35"/>
        <v>0.21429999999999999</v>
      </c>
      <c r="N193" s="28" t="s">
        <v>275</v>
      </c>
      <c r="O193" s="28">
        <f t="shared" si="29"/>
        <v>1</v>
      </c>
      <c r="P193" s="28">
        <f t="shared" si="36"/>
        <v>7.1400000000000005E-2</v>
      </c>
      <c r="Q193" s="28" t="s">
        <v>275</v>
      </c>
      <c r="R193" s="28">
        <f t="shared" si="30"/>
        <v>1</v>
      </c>
      <c r="S193" s="28">
        <f t="shared" si="37"/>
        <v>0.1429</v>
      </c>
      <c r="T193" s="28" t="s">
        <v>276</v>
      </c>
      <c r="U193" s="28">
        <v>1</v>
      </c>
      <c r="V193" s="28">
        <f t="shared" si="38"/>
        <v>0.1429</v>
      </c>
      <c r="W193" s="30">
        <f t="shared" si="39"/>
        <v>1.4286999999999999</v>
      </c>
      <c r="X193" s="31">
        <f t="shared" si="41"/>
        <v>1.4286999999999999</v>
      </c>
      <c r="Y193" s="31">
        <v>1</v>
      </c>
      <c r="Z193" s="32" t="str">
        <f t="shared" si="40"/>
        <v>Low</v>
      </c>
    </row>
    <row r="194" spans="2:26" x14ac:dyDescent="0.2">
      <c r="B194" s="33" t="s">
        <v>665</v>
      </c>
      <c r="C194" s="40">
        <v>20413666130</v>
      </c>
      <c r="D194" s="28" t="s">
        <v>312</v>
      </c>
      <c r="E194" s="28" t="str">
        <f>+_xlfn.XLOOKUP(D194,[1]Regiones!$B$4:$B$31,[1]Regiones!$G$4:$G$31)</f>
        <v>High</v>
      </c>
      <c r="F194" s="29">
        <f t="shared" si="28"/>
        <v>3</v>
      </c>
      <c r="G194" s="28">
        <f t="shared" si="31"/>
        <v>0.64290000000000003</v>
      </c>
      <c r="H194" s="28" t="s">
        <v>275</v>
      </c>
      <c r="I194" s="28">
        <f t="shared" si="32"/>
        <v>1</v>
      </c>
      <c r="J194" s="28">
        <f t="shared" si="33"/>
        <v>0.21429999999999999</v>
      </c>
      <c r="K194" s="28" t="s">
        <v>275</v>
      </c>
      <c r="L194" s="28">
        <f t="shared" si="34"/>
        <v>1</v>
      </c>
      <c r="M194" s="28">
        <f t="shared" si="35"/>
        <v>0.21429999999999999</v>
      </c>
      <c r="N194" s="28" t="s">
        <v>275</v>
      </c>
      <c r="O194" s="28">
        <f t="shared" si="29"/>
        <v>1</v>
      </c>
      <c r="P194" s="28">
        <f t="shared" si="36"/>
        <v>7.1400000000000005E-2</v>
      </c>
      <c r="Q194" s="28" t="s">
        <v>275</v>
      </c>
      <c r="R194" s="28">
        <f t="shared" si="30"/>
        <v>1</v>
      </c>
      <c r="S194" s="28">
        <f t="shared" si="37"/>
        <v>0.1429</v>
      </c>
      <c r="T194" s="28" t="s">
        <v>276</v>
      </c>
      <c r="U194" s="28">
        <v>1</v>
      </c>
      <c r="V194" s="28">
        <f t="shared" si="38"/>
        <v>0.1429</v>
      </c>
      <c r="W194" s="30">
        <f t="shared" si="39"/>
        <v>1.4286999999999999</v>
      </c>
      <c r="X194" s="31">
        <f t="shared" si="41"/>
        <v>1.4286999999999999</v>
      </c>
      <c r="Y194" s="31">
        <v>1</v>
      </c>
      <c r="Z194" s="32" t="str">
        <f t="shared" si="40"/>
        <v>Low</v>
      </c>
    </row>
    <row r="195" spans="2:26" x14ac:dyDescent="0.2">
      <c r="B195" s="33" t="s">
        <v>666</v>
      </c>
      <c r="C195" s="40">
        <v>20614445549</v>
      </c>
      <c r="D195" s="28" t="s">
        <v>274</v>
      </c>
      <c r="E195" s="28" t="str">
        <f>+_xlfn.XLOOKUP(D195,[1]Regiones!$B$4:$B$31,[1]Regiones!$G$4:$G$31)</f>
        <v>High</v>
      </c>
      <c r="F195" s="29">
        <f t="shared" si="28"/>
        <v>3</v>
      </c>
      <c r="G195" s="28">
        <f t="shared" si="31"/>
        <v>0.64290000000000003</v>
      </c>
      <c r="H195" s="28" t="s">
        <v>275</v>
      </c>
      <c r="I195" s="28">
        <f t="shared" si="32"/>
        <v>1</v>
      </c>
      <c r="J195" s="28">
        <f t="shared" si="33"/>
        <v>0.21429999999999999</v>
      </c>
      <c r="K195" s="28" t="s">
        <v>275</v>
      </c>
      <c r="L195" s="28">
        <f t="shared" si="34"/>
        <v>1</v>
      </c>
      <c r="M195" s="28">
        <f t="shared" si="35"/>
        <v>0.21429999999999999</v>
      </c>
      <c r="N195" s="28" t="s">
        <v>279</v>
      </c>
      <c r="O195" s="28">
        <f t="shared" si="29"/>
        <v>3</v>
      </c>
      <c r="P195" s="28">
        <f t="shared" si="36"/>
        <v>0.2142</v>
      </c>
      <c r="Q195" s="28" t="s">
        <v>279</v>
      </c>
      <c r="R195" s="28">
        <f t="shared" si="30"/>
        <v>3</v>
      </c>
      <c r="S195" s="28">
        <f t="shared" si="37"/>
        <v>0.42869999999999997</v>
      </c>
      <c r="T195" s="28" t="s">
        <v>276</v>
      </c>
      <c r="U195" s="28">
        <v>1</v>
      </c>
      <c r="V195" s="28">
        <f t="shared" si="38"/>
        <v>0.1429</v>
      </c>
      <c r="W195" s="30">
        <f t="shared" si="39"/>
        <v>1.8573</v>
      </c>
      <c r="X195" s="31">
        <f t="shared" si="41"/>
        <v>1.8573</v>
      </c>
      <c r="Y195" s="31">
        <v>2</v>
      </c>
      <c r="Z195" s="32" t="str">
        <f t="shared" si="40"/>
        <v>Medium</v>
      </c>
    </row>
    <row r="196" spans="2:26" x14ac:dyDescent="0.2">
      <c r="B196" s="33" t="s">
        <v>667</v>
      </c>
      <c r="C196" s="40">
        <v>20614349990</v>
      </c>
      <c r="D196" s="28" t="s">
        <v>274</v>
      </c>
      <c r="E196" s="28" t="str">
        <f>+_xlfn.XLOOKUP(D196,[1]Regiones!$B$4:$B$31,[1]Regiones!$G$4:$G$31)</f>
        <v>High</v>
      </c>
      <c r="F196" s="29">
        <f t="shared" si="28"/>
        <v>3</v>
      </c>
      <c r="G196" s="28">
        <f t="shared" si="31"/>
        <v>0.64290000000000003</v>
      </c>
      <c r="H196" s="28" t="s">
        <v>275</v>
      </c>
      <c r="I196" s="28">
        <f t="shared" si="32"/>
        <v>1</v>
      </c>
      <c r="J196" s="28">
        <f t="shared" si="33"/>
        <v>0.21429999999999999</v>
      </c>
      <c r="K196" s="28" t="s">
        <v>275</v>
      </c>
      <c r="L196" s="28">
        <f t="shared" si="34"/>
        <v>1</v>
      </c>
      <c r="M196" s="28">
        <f t="shared" si="35"/>
        <v>0.21429999999999999</v>
      </c>
      <c r="N196" s="28" t="s">
        <v>279</v>
      </c>
      <c r="O196" s="28">
        <f t="shared" si="29"/>
        <v>3</v>
      </c>
      <c r="P196" s="28">
        <f t="shared" si="36"/>
        <v>0.2142</v>
      </c>
      <c r="Q196" s="28" t="s">
        <v>275</v>
      </c>
      <c r="R196" s="28">
        <f t="shared" si="30"/>
        <v>1</v>
      </c>
      <c r="S196" s="28">
        <f t="shared" si="37"/>
        <v>0.1429</v>
      </c>
      <c r="T196" s="28" t="s">
        <v>276</v>
      </c>
      <c r="U196" s="28">
        <v>1</v>
      </c>
      <c r="V196" s="28">
        <f t="shared" si="38"/>
        <v>0.1429</v>
      </c>
      <c r="W196" s="30">
        <f t="shared" si="39"/>
        <v>1.5714999999999999</v>
      </c>
      <c r="X196" s="31">
        <f t="shared" si="41"/>
        <v>1.5714999999999999</v>
      </c>
      <c r="Y196" s="31">
        <v>2</v>
      </c>
      <c r="Z196" s="32" t="str">
        <f t="shared" si="40"/>
        <v>Medium</v>
      </c>
    </row>
    <row r="197" spans="2:26" x14ac:dyDescent="0.2">
      <c r="B197" s="33" t="s">
        <v>668</v>
      </c>
      <c r="C197" s="40">
        <v>20515339508</v>
      </c>
      <c r="D197" s="28" t="s">
        <v>274</v>
      </c>
      <c r="E197" s="28" t="str">
        <f>+_xlfn.XLOOKUP(D197,[1]Regiones!$B$4:$B$31,[1]Regiones!$G$4:$G$31)</f>
        <v>High</v>
      </c>
      <c r="F197" s="29">
        <f t="shared" ref="F197:F202" si="42">+_xlfn.XLOOKUP(E197,$AB$4:$AB$7,$AC$4:$AC$7)</f>
        <v>3</v>
      </c>
      <c r="G197" s="28">
        <f t="shared" si="31"/>
        <v>0.64290000000000003</v>
      </c>
      <c r="H197" s="28" t="s">
        <v>275</v>
      </c>
      <c r="I197" s="28">
        <f t="shared" si="32"/>
        <v>1</v>
      </c>
      <c r="J197" s="28">
        <f t="shared" si="33"/>
        <v>0.21429999999999999</v>
      </c>
      <c r="K197" s="28" t="s">
        <v>275</v>
      </c>
      <c r="L197" s="28">
        <f t="shared" si="34"/>
        <v>1</v>
      </c>
      <c r="M197" s="28">
        <f t="shared" si="35"/>
        <v>0.21429999999999999</v>
      </c>
      <c r="N197" s="28" t="s">
        <v>275</v>
      </c>
      <c r="O197" s="28">
        <f t="shared" ref="O197:O202" si="43">+_xlfn.XLOOKUP(N197,$AB$4:$AB$7,$AC$4:$AC$7)</f>
        <v>1</v>
      </c>
      <c r="P197" s="28">
        <f t="shared" si="36"/>
        <v>7.1400000000000005E-2</v>
      </c>
      <c r="Q197" s="28" t="s">
        <v>275</v>
      </c>
      <c r="R197" s="28">
        <f t="shared" ref="R197:R202" si="44">+_xlfn.XLOOKUP(Q197,$AB$4:$AB$7,$AC$4:$AC$7)</f>
        <v>1</v>
      </c>
      <c r="S197" s="28">
        <f t="shared" si="37"/>
        <v>0.1429</v>
      </c>
      <c r="T197" s="28" t="s">
        <v>276</v>
      </c>
      <c r="U197" s="28">
        <v>1</v>
      </c>
      <c r="V197" s="28">
        <f t="shared" si="38"/>
        <v>0.1429</v>
      </c>
      <c r="W197" s="30">
        <f t="shared" si="39"/>
        <v>1.4286999999999999</v>
      </c>
      <c r="X197" s="31">
        <f t="shared" si="41"/>
        <v>1.4286999999999999</v>
      </c>
      <c r="Y197" s="31">
        <v>1</v>
      </c>
      <c r="Z197" s="32" t="str">
        <f t="shared" si="40"/>
        <v>Low</v>
      </c>
    </row>
    <row r="198" spans="2:26" x14ac:dyDescent="0.2">
      <c r="B198" s="33" t="s">
        <v>669</v>
      </c>
      <c r="C198" s="40">
        <v>20613170716</v>
      </c>
      <c r="D198" s="28" t="s">
        <v>274</v>
      </c>
      <c r="E198" s="28" t="s">
        <v>279</v>
      </c>
      <c r="F198" s="29">
        <f t="shared" si="42"/>
        <v>3</v>
      </c>
      <c r="G198" s="28">
        <f t="shared" ref="G198:G202" si="45">+F198*$G$3</f>
        <v>0.64290000000000003</v>
      </c>
      <c r="H198" s="28" t="s">
        <v>275</v>
      </c>
      <c r="I198" s="28">
        <f t="shared" ref="I198:I202" si="46">+_xlfn.XLOOKUP(H198,$AB$4:$AB$7,$AC$4:$AC$7)</f>
        <v>1</v>
      </c>
      <c r="J198" s="28">
        <f t="shared" ref="J198:J202" si="47">+I198*$J$3</f>
        <v>0.21429999999999999</v>
      </c>
      <c r="K198" s="28" t="s">
        <v>275</v>
      </c>
      <c r="L198" s="28">
        <f t="shared" ref="L198:L202" si="48">+_xlfn.XLOOKUP(K198,$AB$4:$AB$7,$AC$4:$AC$7)</f>
        <v>1</v>
      </c>
      <c r="M198" s="28">
        <f t="shared" ref="M198:M202" si="49">+L198*$M$3</f>
        <v>0.21429999999999999</v>
      </c>
      <c r="N198" s="28" t="s">
        <v>275</v>
      </c>
      <c r="O198" s="28">
        <f t="shared" si="43"/>
        <v>1</v>
      </c>
      <c r="P198" s="28">
        <f t="shared" ref="P198:P202" si="50">+O198*$P$3</f>
        <v>7.1400000000000005E-2</v>
      </c>
      <c r="Q198" s="28" t="s">
        <v>275</v>
      </c>
      <c r="R198" s="28">
        <f t="shared" si="44"/>
        <v>1</v>
      </c>
      <c r="S198" s="28">
        <f t="shared" ref="S198:S202" si="51">+R198*$S$3</f>
        <v>0.1429</v>
      </c>
      <c r="T198" s="28" t="s">
        <v>276</v>
      </c>
      <c r="U198" s="28">
        <v>1</v>
      </c>
      <c r="V198" s="28">
        <f t="shared" ref="V198:V202" si="52">+U198*$V$3</f>
        <v>0.1429</v>
      </c>
      <c r="W198" s="30">
        <f t="shared" ref="W198:W202" si="53">+G198+J198+M198+P198+S198+V198</f>
        <v>1.4286999999999999</v>
      </c>
      <c r="X198" s="31">
        <f t="shared" si="41"/>
        <v>1.4286999999999999</v>
      </c>
      <c r="Y198" s="31">
        <v>1</v>
      </c>
      <c r="Z198" s="32" t="str">
        <f t="shared" ref="Z198:Z202" si="54">+_xlfn.XLOOKUP(Y198,$AC$4:$AC$7,$AB$4:$AB$7)</f>
        <v>Low</v>
      </c>
    </row>
    <row r="199" spans="2:26" x14ac:dyDescent="0.2">
      <c r="B199" s="33" t="s">
        <v>670</v>
      </c>
      <c r="C199" s="40">
        <v>20613870556</v>
      </c>
      <c r="D199" s="28" t="s">
        <v>274</v>
      </c>
      <c r="E199" s="28" t="s">
        <v>279</v>
      </c>
      <c r="F199" s="29">
        <f t="shared" si="42"/>
        <v>3</v>
      </c>
      <c r="G199" s="28">
        <f t="shared" si="45"/>
        <v>0.64290000000000003</v>
      </c>
      <c r="H199" s="28" t="s">
        <v>275</v>
      </c>
      <c r="I199" s="28">
        <f t="shared" si="46"/>
        <v>1</v>
      </c>
      <c r="J199" s="28">
        <f t="shared" si="47"/>
        <v>0.21429999999999999</v>
      </c>
      <c r="K199" s="28" t="s">
        <v>275</v>
      </c>
      <c r="L199" s="28">
        <f t="shared" si="48"/>
        <v>1</v>
      </c>
      <c r="M199" s="28">
        <f t="shared" si="49"/>
        <v>0.21429999999999999</v>
      </c>
      <c r="N199" s="28" t="s">
        <v>275</v>
      </c>
      <c r="O199" s="28">
        <f t="shared" si="43"/>
        <v>1</v>
      </c>
      <c r="P199" s="28">
        <f t="shared" si="50"/>
        <v>7.1400000000000005E-2</v>
      </c>
      <c r="Q199" s="28" t="s">
        <v>275</v>
      </c>
      <c r="R199" s="28">
        <f t="shared" si="44"/>
        <v>1</v>
      </c>
      <c r="S199" s="28">
        <f t="shared" si="51"/>
        <v>0.1429</v>
      </c>
      <c r="T199" s="28" t="s">
        <v>276</v>
      </c>
      <c r="U199" s="28">
        <v>1</v>
      </c>
      <c r="V199" s="28">
        <f t="shared" si="52"/>
        <v>0.1429</v>
      </c>
      <c r="W199" s="30">
        <f t="shared" si="53"/>
        <v>1.4286999999999999</v>
      </c>
      <c r="X199" s="31">
        <f t="shared" ref="X199:X202" si="55">+AVERAGE(W199)</f>
        <v>1.4286999999999999</v>
      </c>
      <c r="Y199" s="31">
        <v>1</v>
      </c>
      <c r="Z199" s="32" t="str">
        <f t="shared" si="54"/>
        <v>Low</v>
      </c>
    </row>
    <row r="200" spans="2:26" x14ac:dyDescent="0.2">
      <c r="B200" s="33" t="s">
        <v>671</v>
      </c>
      <c r="C200" s="40">
        <v>20612164895</v>
      </c>
      <c r="D200" s="28" t="s">
        <v>274</v>
      </c>
      <c r="E200" s="28" t="s">
        <v>279</v>
      </c>
      <c r="F200" s="29">
        <f t="shared" si="42"/>
        <v>3</v>
      </c>
      <c r="G200" s="28">
        <f t="shared" si="45"/>
        <v>0.64290000000000003</v>
      </c>
      <c r="H200" s="28" t="s">
        <v>275</v>
      </c>
      <c r="I200" s="28">
        <f t="shared" si="46"/>
        <v>1</v>
      </c>
      <c r="J200" s="28">
        <f t="shared" si="47"/>
        <v>0.21429999999999999</v>
      </c>
      <c r="K200" s="28" t="s">
        <v>275</v>
      </c>
      <c r="L200" s="28">
        <f t="shared" si="48"/>
        <v>1</v>
      </c>
      <c r="M200" s="28">
        <f t="shared" si="49"/>
        <v>0.21429999999999999</v>
      </c>
      <c r="N200" s="28" t="s">
        <v>275</v>
      </c>
      <c r="O200" s="28">
        <f t="shared" si="43"/>
        <v>1</v>
      </c>
      <c r="P200" s="28">
        <f t="shared" si="50"/>
        <v>7.1400000000000005E-2</v>
      </c>
      <c r="Q200" s="28" t="s">
        <v>275</v>
      </c>
      <c r="R200" s="28">
        <f t="shared" si="44"/>
        <v>1</v>
      </c>
      <c r="S200" s="28">
        <f t="shared" si="51"/>
        <v>0.1429</v>
      </c>
      <c r="T200" s="28" t="s">
        <v>276</v>
      </c>
      <c r="U200" s="28">
        <v>1</v>
      </c>
      <c r="V200" s="28">
        <f t="shared" si="52"/>
        <v>0.1429</v>
      </c>
      <c r="W200" s="30">
        <f t="shared" si="53"/>
        <v>1.4286999999999999</v>
      </c>
      <c r="X200" s="31">
        <f t="shared" si="55"/>
        <v>1.4286999999999999</v>
      </c>
      <c r="Y200" s="31">
        <v>1</v>
      </c>
      <c r="Z200" s="32" t="str">
        <f t="shared" si="54"/>
        <v>Low</v>
      </c>
    </row>
    <row r="201" spans="2:26" x14ac:dyDescent="0.2">
      <c r="B201" s="33" t="s">
        <v>672</v>
      </c>
      <c r="C201" s="40">
        <v>20612383261</v>
      </c>
      <c r="D201" s="28" t="s">
        <v>274</v>
      </c>
      <c r="E201" s="28" t="s">
        <v>279</v>
      </c>
      <c r="F201" s="29">
        <f t="shared" si="42"/>
        <v>3</v>
      </c>
      <c r="G201" s="28">
        <f t="shared" si="45"/>
        <v>0.64290000000000003</v>
      </c>
      <c r="H201" s="28" t="s">
        <v>275</v>
      </c>
      <c r="I201" s="28">
        <f t="shared" si="46"/>
        <v>1</v>
      </c>
      <c r="J201" s="28">
        <f t="shared" si="47"/>
        <v>0.21429999999999999</v>
      </c>
      <c r="K201" s="28" t="s">
        <v>279</v>
      </c>
      <c r="L201" s="28">
        <f t="shared" si="48"/>
        <v>3</v>
      </c>
      <c r="M201" s="28">
        <f t="shared" si="49"/>
        <v>0.64290000000000003</v>
      </c>
      <c r="N201" s="28" t="s">
        <v>279</v>
      </c>
      <c r="O201" s="28">
        <f t="shared" si="43"/>
        <v>3</v>
      </c>
      <c r="P201" s="28">
        <f t="shared" si="50"/>
        <v>0.2142</v>
      </c>
      <c r="Q201" s="28" t="s">
        <v>275</v>
      </c>
      <c r="R201" s="28">
        <f t="shared" si="44"/>
        <v>1</v>
      </c>
      <c r="S201" s="28">
        <f t="shared" si="51"/>
        <v>0.1429</v>
      </c>
      <c r="T201" s="28" t="s">
        <v>276</v>
      </c>
      <c r="U201" s="28">
        <v>1</v>
      </c>
      <c r="V201" s="28">
        <f t="shared" si="52"/>
        <v>0.1429</v>
      </c>
      <c r="W201" s="30">
        <f t="shared" si="53"/>
        <v>2.0000999999999998</v>
      </c>
      <c r="X201" s="31">
        <f t="shared" si="55"/>
        <v>2.0000999999999998</v>
      </c>
      <c r="Y201" s="31">
        <v>2</v>
      </c>
      <c r="Z201" s="32" t="str">
        <f t="shared" si="54"/>
        <v>Medium</v>
      </c>
    </row>
    <row r="202" spans="2:26" x14ac:dyDescent="0.2">
      <c r="B202" s="33" t="s">
        <v>673</v>
      </c>
      <c r="C202" s="40">
        <v>20610489622</v>
      </c>
      <c r="D202" s="28" t="s">
        <v>274</v>
      </c>
      <c r="E202" s="28" t="s">
        <v>279</v>
      </c>
      <c r="F202" s="29">
        <f t="shared" si="42"/>
        <v>3</v>
      </c>
      <c r="G202" s="28">
        <f t="shared" si="45"/>
        <v>0.64290000000000003</v>
      </c>
      <c r="H202" s="28" t="s">
        <v>275</v>
      </c>
      <c r="I202" s="28">
        <f t="shared" si="46"/>
        <v>1</v>
      </c>
      <c r="J202" s="28">
        <f t="shared" si="47"/>
        <v>0.21429999999999999</v>
      </c>
      <c r="K202" s="28" t="s">
        <v>275</v>
      </c>
      <c r="L202" s="28">
        <f t="shared" si="48"/>
        <v>1</v>
      </c>
      <c r="M202" s="28">
        <f t="shared" si="49"/>
        <v>0.21429999999999999</v>
      </c>
      <c r="N202" s="28" t="s">
        <v>275</v>
      </c>
      <c r="O202" s="28">
        <f t="shared" si="43"/>
        <v>1</v>
      </c>
      <c r="P202" s="28">
        <f t="shared" si="50"/>
        <v>7.1400000000000005E-2</v>
      </c>
      <c r="Q202" s="28" t="s">
        <v>275</v>
      </c>
      <c r="R202" s="28">
        <f t="shared" si="44"/>
        <v>1</v>
      </c>
      <c r="S202" s="28">
        <f t="shared" si="51"/>
        <v>0.1429</v>
      </c>
      <c r="T202" s="28" t="s">
        <v>276</v>
      </c>
      <c r="U202" s="28">
        <v>1</v>
      </c>
      <c r="V202" s="28">
        <f t="shared" si="52"/>
        <v>0.1429</v>
      </c>
      <c r="W202" s="30">
        <f t="shared" si="53"/>
        <v>1.4286999999999999</v>
      </c>
      <c r="X202" s="31">
        <f t="shared" si="55"/>
        <v>1.4286999999999999</v>
      </c>
      <c r="Y202" s="31">
        <v>1</v>
      </c>
      <c r="Z202" s="32" t="str">
        <f t="shared" si="54"/>
        <v>Low</v>
      </c>
    </row>
  </sheetData>
  <mergeCells count="6">
    <mergeCell ref="T4:V4"/>
    <mergeCell ref="E4:G4"/>
    <mergeCell ref="H4:J4"/>
    <mergeCell ref="K4:M4"/>
    <mergeCell ref="N4:P4"/>
    <mergeCell ref="Q4:S4"/>
  </mergeCells>
  <conditionalFormatting sqref="B1:B1048576">
    <cfRule type="duplicateValues" dxfId="6" priority="4"/>
  </conditionalFormatting>
  <conditionalFormatting sqref="Z5:Z202">
    <cfRule type="containsText" dxfId="5" priority="1" operator="containsText" text="Low">
      <formula>NOT(ISERROR(SEARCH("Low",Z5)))</formula>
    </cfRule>
    <cfRule type="containsText" dxfId="4" priority="2" operator="containsText" text="Medium">
      <formula>NOT(ISERROR(SEARCH("Medium",Z5)))</formula>
    </cfRule>
    <cfRule type="containsText" dxfId="3" priority="3" operator="containsText" text="High">
      <formula>NOT(ISERROR(SEARCH("High",Z5)))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0CFC-E97D-40CE-B82F-2550F042C7ED}">
  <dimension ref="A1:E200"/>
  <sheetViews>
    <sheetView workbookViewId="0">
      <selection activeCell="C205" sqref="C205"/>
    </sheetView>
  </sheetViews>
  <sheetFormatPr defaultColWidth="10.76171875" defaultRowHeight="15" x14ac:dyDescent="0.2"/>
  <cols>
    <col min="1" max="1" width="10.89453125" style="51"/>
    <col min="2" max="2" width="14.2578125" style="51" customWidth="1"/>
    <col min="3" max="3" width="46.6796875" customWidth="1"/>
  </cols>
  <sheetData>
    <row r="1" spans="1:5" x14ac:dyDescent="0.2">
      <c r="A1" s="2" t="s">
        <v>1116</v>
      </c>
      <c r="B1" s="2" t="s">
        <v>1574</v>
      </c>
      <c r="C1" s="2" t="s">
        <v>1131</v>
      </c>
      <c r="D1" s="2" t="s">
        <v>1573</v>
      </c>
      <c r="E1" s="2" t="s">
        <v>1148</v>
      </c>
    </row>
    <row r="2" spans="1:5" x14ac:dyDescent="0.2">
      <c r="A2" s="52" t="s">
        <v>1149</v>
      </c>
      <c r="B2" s="52">
        <v>1</v>
      </c>
      <c r="C2" s="28" t="s">
        <v>272</v>
      </c>
      <c r="D2" s="49" t="s">
        <v>275</v>
      </c>
      <c r="E2" s="49">
        <v>1</v>
      </c>
    </row>
    <row r="3" spans="1:5" x14ac:dyDescent="0.2">
      <c r="A3" s="52" t="s">
        <v>1149</v>
      </c>
      <c r="B3" s="52">
        <v>2</v>
      </c>
      <c r="C3" s="28" t="s">
        <v>277</v>
      </c>
      <c r="D3" s="49" t="s">
        <v>281</v>
      </c>
      <c r="E3" s="49">
        <v>3</v>
      </c>
    </row>
    <row r="4" spans="1:5" x14ac:dyDescent="0.2">
      <c r="A4" s="52" t="s">
        <v>1149</v>
      </c>
      <c r="B4" s="52">
        <v>3</v>
      </c>
      <c r="C4" s="28" t="s">
        <v>282</v>
      </c>
      <c r="D4" s="49" t="s">
        <v>275</v>
      </c>
      <c r="E4" s="49">
        <v>1</v>
      </c>
    </row>
    <row r="5" spans="1:5" x14ac:dyDescent="0.2">
      <c r="A5" s="52" t="s">
        <v>1149</v>
      </c>
      <c r="B5" s="52">
        <v>4</v>
      </c>
      <c r="C5" s="28" t="s">
        <v>285</v>
      </c>
      <c r="D5" s="49" t="s">
        <v>275</v>
      </c>
      <c r="E5" s="49">
        <v>1</v>
      </c>
    </row>
    <row r="6" spans="1:5" x14ac:dyDescent="0.2">
      <c r="A6" s="52" t="s">
        <v>1149</v>
      </c>
      <c r="B6" s="52">
        <v>5</v>
      </c>
      <c r="C6" s="28" t="s">
        <v>287</v>
      </c>
      <c r="D6" s="49" t="s">
        <v>275</v>
      </c>
      <c r="E6" s="49">
        <v>1</v>
      </c>
    </row>
    <row r="7" spans="1:5" x14ac:dyDescent="0.2">
      <c r="A7" s="52" t="s">
        <v>1149</v>
      </c>
      <c r="B7" s="52">
        <v>6</v>
      </c>
      <c r="C7" s="28" t="s">
        <v>289</v>
      </c>
      <c r="D7" s="49" t="s">
        <v>281</v>
      </c>
      <c r="E7" s="49">
        <v>3</v>
      </c>
    </row>
    <row r="8" spans="1:5" x14ac:dyDescent="0.2">
      <c r="A8" s="52" t="s">
        <v>1149</v>
      </c>
      <c r="B8" s="52">
        <v>7</v>
      </c>
      <c r="C8" s="28" t="s">
        <v>291</v>
      </c>
      <c r="D8" s="49" t="s">
        <v>275</v>
      </c>
      <c r="E8" s="49">
        <v>1</v>
      </c>
    </row>
    <row r="9" spans="1:5" x14ac:dyDescent="0.2">
      <c r="A9" s="52" t="s">
        <v>1149</v>
      </c>
      <c r="B9" s="52">
        <v>8</v>
      </c>
      <c r="C9" s="28" t="s">
        <v>294</v>
      </c>
      <c r="D9" s="49" t="s">
        <v>275</v>
      </c>
      <c r="E9" s="49">
        <v>1</v>
      </c>
    </row>
    <row r="10" spans="1:5" x14ac:dyDescent="0.2">
      <c r="A10" s="52" t="s">
        <v>1149</v>
      </c>
      <c r="B10" s="52">
        <v>9</v>
      </c>
      <c r="C10" s="28" t="s">
        <v>296</v>
      </c>
      <c r="D10" s="49" t="s">
        <v>281</v>
      </c>
      <c r="E10" s="49">
        <v>3</v>
      </c>
    </row>
    <row r="11" spans="1:5" x14ac:dyDescent="0.2">
      <c r="A11" s="52" t="s">
        <v>1149</v>
      </c>
      <c r="B11" s="52">
        <v>10</v>
      </c>
      <c r="C11" s="28" t="s">
        <v>298</v>
      </c>
      <c r="D11" s="49" t="s">
        <v>275</v>
      </c>
      <c r="E11" s="49">
        <v>1</v>
      </c>
    </row>
    <row r="12" spans="1:5" x14ac:dyDescent="0.2">
      <c r="A12" s="52" t="s">
        <v>1149</v>
      </c>
      <c r="B12" s="52">
        <v>11</v>
      </c>
      <c r="C12" s="28" t="s">
        <v>300</v>
      </c>
      <c r="D12" s="49" t="s">
        <v>275</v>
      </c>
      <c r="E12" s="49">
        <v>1</v>
      </c>
    </row>
    <row r="13" spans="1:5" x14ac:dyDescent="0.2">
      <c r="A13" s="52" t="s">
        <v>1149</v>
      </c>
      <c r="B13" s="52">
        <v>12</v>
      </c>
      <c r="C13" s="28" t="s">
        <v>302</v>
      </c>
      <c r="D13" s="49" t="s">
        <v>281</v>
      </c>
      <c r="E13" s="49">
        <v>3</v>
      </c>
    </row>
    <row r="14" spans="1:5" x14ac:dyDescent="0.2">
      <c r="A14" s="52" t="s">
        <v>1149</v>
      </c>
      <c r="B14" s="52">
        <v>13</v>
      </c>
      <c r="C14" s="28" t="s">
        <v>304</v>
      </c>
      <c r="D14" s="49" t="s">
        <v>275</v>
      </c>
      <c r="E14" s="49">
        <v>1</v>
      </c>
    </row>
    <row r="15" spans="1:5" x14ac:dyDescent="0.2">
      <c r="A15" s="52" t="s">
        <v>1149</v>
      </c>
      <c r="B15" s="52">
        <v>14</v>
      </c>
      <c r="C15" s="28" t="s">
        <v>306</v>
      </c>
      <c r="D15" s="49" t="s">
        <v>281</v>
      </c>
      <c r="E15" s="49">
        <v>3</v>
      </c>
    </row>
    <row r="16" spans="1:5" x14ac:dyDescent="0.2">
      <c r="A16" s="52" t="s">
        <v>1149</v>
      </c>
      <c r="B16" s="52">
        <v>15</v>
      </c>
      <c r="C16" s="28" t="s">
        <v>308</v>
      </c>
      <c r="D16" s="49" t="s">
        <v>275</v>
      </c>
      <c r="E16" s="49">
        <v>1</v>
      </c>
    </row>
    <row r="17" spans="1:5" x14ac:dyDescent="0.2">
      <c r="A17" s="52" t="s">
        <v>1149</v>
      </c>
      <c r="B17" s="52">
        <v>16</v>
      </c>
      <c r="C17" s="28" t="s">
        <v>310</v>
      </c>
      <c r="D17" s="49" t="s">
        <v>281</v>
      </c>
      <c r="E17" s="49">
        <v>3</v>
      </c>
    </row>
    <row r="18" spans="1:5" x14ac:dyDescent="0.2">
      <c r="A18" s="52" t="s">
        <v>1149</v>
      </c>
      <c r="B18" s="52">
        <v>17</v>
      </c>
      <c r="C18" s="28" t="s">
        <v>314</v>
      </c>
      <c r="D18" s="49" t="s">
        <v>281</v>
      </c>
      <c r="E18" s="49">
        <v>3</v>
      </c>
    </row>
    <row r="19" spans="1:5" x14ac:dyDescent="0.2">
      <c r="A19" s="52" t="s">
        <v>1149</v>
      </c>
      <c r="B19" s="52">
        <v>18</v>
      </c>
      <c r="C19" s="28" t="s">
        <v>317</v>
      </c>
      <c r="D19" s="49" t="s">
        <v>275</v>
      </c>
      <c r="E19" s="49">
        <v>1</v>
      </c>
    </row>
    <row r="20" spans="1:5" x14ac:dyDescent="0.2">
      <c r="A20" s="52" t="s">
        <v>1149</v>
      </c>
      <c r="B20" s="52">
        <v>19</v>
      </c>
      <c r="C20" s="28" t="s">
        <v>320</v>
      </c>
      <c r="D20" s="49" t="s">
        <v>275</v>
      </c>
      <c r="E20" s="49">
        <v>1</v>
      </c>
    </row>
    <row r="21" spans="1:5" x14ac:dyDescent="0.2">
      <c r="A21" s="52" t="s">
        <v>1149</v>
      </c>
      <c r="B21" s="52">
        <v>20</v>
      </c>
      <c r="C21" s="28" t="s">
        <v>322</v>
      </c>
      <c r="D21" s="49" t="s">
        <v>281</v>
      </c>
      <c r="E21" s="49">
        <v>3</v>
      </c>
    </row>
    <row r="22" spans="1:5" x14ac:dyDescent="0.2">
      <c r="A22" s="52" t="s">
        <v>1149</v>
      </c>
      <c r="B22" s="52">
        <v>21</v>
      </c>
      <c r="C22" s="28" t="s">
        <v>324</v>
      </c>
      <c r="D22" s="49" t="s">
        <v>281</v>
      </c>
      <c r="E22" s="49">
        <v>3</v>
      </c>
    </row>
    <row r="23" spans="1:5" x14ac:dyDescent="0.2">
      <c r="A23" s="52" t="s">
        <v>1149</v>
      </c>
      <c r="B23" s="52">
        <v>22</v>
      </c>
      <c r="C23" s="28" t="s">
        <v>326</v>
      </c>
      <c r="D23" s="49" t="s">
        <v>281</v>
      </c>
      <c r="E23" s="49">
        <v>3</v>
      </c>
    </row>
    <row r="24" spans="1:5" x14ac:dyDescent="0.2">
      <c r="A24" s="52" t="s">
        <v>1149</v>
      </c>
      <c r="B24" s="52">
        <v>23</v>
      </c>
      <c r="C24" s="28" t="s">
        <v>329</v>
      </c>
      <c r="D24" s="49" t="s">
        <v>281</v>
      </c>
      <c r="E24" s="49">
        <v>3</v>
      </c>
    </row>
    <row r="25" spans="1:5" x14ac:dyDescent="0.2">
      <c r="A25" s="52" t="s">
        <v>1149</v>
      </c>
      <c r="B25" s="52">
        <v>24</v>
      </c>
      <c r="C25" s="28" t="s">
        <v>331</v>
      </c>
      <c r="D25" s="49" t="s">
        <v>275</v>
      </c>
      <c r="E25" s="49">
        <v>1</v>
      </c>
    </row>
    <row r="26" spans="1:5" x14ac:dyDescent="0.2">
      <c r="A26" s="52" t="s">
        <v>1149</v>
      </c>
      <c r="B26" s="52">
        <v>25</v>
      </c>
      <c r="C26" s="28" t="s">
        <v>333</v>
      </c>
      <c r="D26" s="49" t="s">
        <v>281</v>
      </c>
      <c r="E26" s="49">
        <v>3</v>
      </c>
    </row>
    <row r="27" spans="1:5" x14ac:dyDescent="0.2">
      <c r="A27" s="52" t="s">
        <v>1149</v>
      </c>
      <c r="B27" s="52">
        <v>26</v>
      </c>
      <c r="C27" s="28" t="s">
        <v>335</v>
      </c>
      <c r="D27" s="49" t="s">
        <v>279</v>
      </c>
      <c r="E27" s="49">
        <v>5</v>
      </c>
    </row>
    <row r="28" spans="1:5" x14ac:dyDescent="0.2">
      <c r="A28" s="52" t="s">
        <v>1149</v>
      </c>
      <c r="B28" s="52">
        <v>27</v>
      </c>
      <c r="C28" s="28" t="s">
        <v>337</v>
      </c>
      <c r="D28" s="49" t="s">
        <v>281</v>
      </c>
      <c r="E28" s="49">
        <v>3</v>
      </c>
    </row>
    <row r="29" spans="1:5" x14ac:dyDescent="0.2">
      <c r="A29" s="52" t="s">
        <v>1149</v>
      </c>
      <c r="B29" s="52">
        <v>28</v>
      </c>
      <c r="C29" s="28" t="s">
        <v>340</v>
      </c>
      <c r="D29" s="49" t="s">
        <v>281</v>
      </c>
      <c r="E29" s="49">
        <v>3</v>
      </c>
    </row>
    <row r="30" spans="1:5" x14ac:dyDescent="0.2">
      <c r="A30" s="52" t="s">
        <v>1149</v>
      </c>
      <c r="B30" s="52">
        <v>29</v>
      </c>
      <c r="C30" s="28" t="s">
        <v>342</v>
      </c>
      <c r="D30" s="49" t="s">
        <v>275</v>
      </c>
      <c r="E30" s="49">
        <v>1</v>
      </c>
    </row>
    <row r="31" spans="1:5" x14ac:dyDescent="0.2">
      <c r="A31" s="52" t="s">
        <v>1149</v>
      </c>
      <c r="B31" s="52">
        <v>30</v>
      </c>
      <c r="C31" s="28" t="s">
        <v>344</v>
      </c>
      <c r="D31" s="49" t="s">
        <v>275</v>
      </c>
      <c r="E31" s="49">
        <v>1</v>
      </c>
    </row>
    <row r="32" spans="1:5" x14ac:dyDescent="0.2">
      <c r="A32" s="52" t="s">
        <v>1149</v>
      </c>
      <c r="B32" s="52">
        <v>31</v>
      </c>
      <c r="C32" s="28" t="s">
        <v>346</v>
      </c>
      <c r="D32" s="49" t="s">
        <v>275</v>
      </c>
      <c r="E32" s="49">
        <v>1</v>
      </c>
    </row>
    <row r="33" spans="1:5" x14ac:dyDescent="0.2">
      <c r="A33" s="52" t="s">
        <v>1149</v>
      </c>
      <c r="B33" s="52">
        <v>32</v>
      </c>
      <c r="C33" s="28" t="s">
        <v>348</v>
      </c>
      <c r="D33" s="49" t="s">
        <v>275</v>
      </c>
      <c r="E33" s="49">
        <v>1</v>
      </c>
    </row>
    <row r="34" spans="1:5" x14ac:dyDescent="0.2">
      <c r="A34" s="52" t="s">
        <v>1149</v>
      </c>
      <c r="B34" s="52">
        <v>33</v>
      </c>
      <c r="C34" s="28" t="s">
        <v>350</v>
      </c>
      <c r="D34" s="49" t="s">
        <v>275</v>
      </c>
      <c r="E34" s="49">
        <v>1</v>
      </c>
    </row>
    <row r="35" spans="1:5" x14ac:dyDescent="0.2">
      <c r="A35" s="52" t="s">
        <v>1149</v>
      </c>
      <c r="B35" s="52">
        <v>34</v>
      </c>
      <c r="C35" s="28" t="s">
        <v>352</v>
      </c>
      <c r="D35" s="49" t="s">
        <v>281</v>
      </c>
      <c r="E35" s="49">
        <v>3</v>
      </c>
    </row>
    <row r="36" spans="1:5" x14ac:dyDescent="0.2">
      <c r="A36" s="52" t="s">
        <v>1149</v>
      </c>
      <c r="B36" s="52">
        <v>35</v>
      </c>
      <c r="C36" s="28" t="s">
        <v>354</v>
      </c>
      <c r="D36" s="49" t="s">
        <v>279</v>
      </c>
      <c r="E36" s="49">
        <v>5</v>
      </c>
    </row>
    <row r="37" spans="1:5" x14ac:dyDescent="0.2">
      <c r="A37" s="52" t="s">
        <v>1149</v>
      </c>
      <c r="B37" s="52">
        <v>36</v>
      </c>
      <c r="C37" s="28" t="s">
        <v>356</v>
      </c>
      <c r="D37" s="49" t="s">
        <v>275</v>
      </c>
      <c r="E37" s="49">
        <v>1</v>
      </c>
    </row>
    <row r="38" spans="1:5" x14ac:dyDescent="0.2">
      <c r="A38" s="52" t="s">
        <v>1149</v>
      </c>
      <c r="B38" s="52">
        <v>37</v>
      </c>
      <c r="C38" s="28" t="s">
        <v>359</v>
      </c>
      <c r="D38" s="49" t="s">
        <v>275</v>
      </c>
      <c r="E38" s="49">
        <v>1</v>
      </c>
    </row>
    <row r="39" spans="1:5" x14ac:dyDescent="0.2">
      <c r="A39" s="52" t="s">
        <v>1149</v>
      </c>
      <c r="B39" s="52">
        <v>38</v>
      </c>
      <c r="C39" s="28" t="s">
        <v>361</v>
      </c>
      <c r="D39" s="49" t="s">
        <v>275</v>
      </c>
      <c r="E39" s="49">
        <v>1</v>
      </c>
    </row>
    <row r="40" spans="1:5" x14ac:dyDescent="0.2">
      <c r="A40" s="52" t="s">
        <v>1149</v>
      </c>
      <c r="B40" s="52">
        <v>39</v>
      </c>
      <c r="C40" s="28" t="s">
        <v>364</v>
      </c>
      <c r="D40" s="49" t="s">
        <v>275</v>
      </c>
      <c r="E40" s="49">
        <v>1</v>
      </c>
    </row>
    <row r="41" spans="1:5" x14ac:dyDescent="0.2">
      <c r="A41" s="52" t="s">
        <v>1149</v>
      </c>
      <c r="B41" s="52">
        <v>40</v>
      </c>
      <c r="C41" s="28" t="s">
        <v>366</v>
      </c>
      <c r="D41" s="49" t="s">
        <v>281</v>
      </c>
      <c r="E41" s="49">
        <v>3</v>
      </c>
    </row>
    <row r="42" spans="1:5" x14ac:dyDescent="0.2">
      <c r="A42" s="52" t="s">
        <v>1149</v>
      </c>
      <c r="B42" s="52">
        <v>41</v>
      </c>
      <c r="C42" s="28" t="s">
        <v>369</v>
      </c>
      <c r="D42" s="49" t="s">
        <v>275</v>
      </c>
      <c r="E42" s="49">
        <v>1</v>
      </c>
    </row>
    <row r="43" spans="1:5" x14ac:dyDescent="0.2">
      <c r="A43" s="52" t="s">
        <v>1149</v>
      </c>
      <c r="B43" s="52">
        <v>42</v>
      </c>
      <c r="C43" s="28" t="s">
        <v>371</v>
      </c>
      <c r="D43" s="49" t="s">
        <v>275</v>
      </c>
      <c r="E43" s="49">
        <v>1</v>
      </c>
    </row>
    <row r="44" spans="1:5" x14ac:dyDescent="0.2">
      <c r="A44" s="52" t="s">
        <v>1149</v>
      </c>
      <c r="B44" s="52">
        <v>43</v>
      </c>
      <c r="C44" s="28" t="s">
        <v>373</v>
      </c>
      <c r="D44" s="49" t="s">
        <v>281</v>
      </c>
      <c r="E44" s="49">
        <v>3</v>
      </c>
    </row>
    <row r="45" spans="1:5" x14ac:dyDescent="0.2">
      <c r="A45" s="52" t="s">
        <v>1149</v>
      </c>
      <c r="B45" s="52">
        <v>44</v>
      </c>
      <c r="C45" s="28" t="s">
        <v>375</v>
      </c>
      <c r="D45" s="49" t="s">
        <v>275</v>
      </c>
      <c r="E45" s="49">
        <v>1</v>
      </c>
    </row>
    <row r="46" spans="1:5" x14ac:dyDescent="0.2">
      <c r="A46" s="52" t="s">
        <v>1149</v>
      </c>
      <c r="B46" s="52">
        <v>45</v>
      </c>
      <c r="C46" s="28" t="s">
        <v>377</v>
      </c>
      <c r="D46" s="49" t="s">
        <v>275</v>
      </c>
      <c r="E46" s="49">
        <v>1</v>
      </c>
    </row>
    <row r="47" spans="1:5" x14ac:dyDescent="0.2">
      <c r="A47" s="52" t="s">
        <v>1149</v>
      </c>
      <c r="B47" s="52">
        <v>46</v>
      </c>
      <c r="C47" s="28" t="s">
        <v>379</v>
      </c>
      <c r="D47" s="49" t="s">
        <v>275</v>
      </c>
      <c r="E47" s="49">
        <v>1</v>
      </c>
    </row>
    <row r="48" spans="1:5" x14ac:dyDescent="0.2">
      <c r="A48" s="52" t="s">
        <v>1149</v>
      </c>
      <c r="B48" s="52">
        <v>47</v>
      </c>
      <c r="C48" s="28" t="s">
        <v>381</v>
      </c>
      <c r="D48" s="49" t="s">
        <v>281</v>
      </c>
      <c r="E48" s="49">
        <v>3</v>
      </c>
    </row>
    <row r="49" spans="1:5" x14ac:dyDescent="0.2">
      <c r="A49" s="52" t="s">
        <v>1149</v>
      </c>
      <c r="B49" s="52">
        <v>48</v>
      </c>
      <c r="C49" s="28" t="s">
        <v>383</v>
      </c>
      <c r="D49" s="49" t="s">
        <v>281</v>
      </c>
      <c r="E49" s="49">
        <v>3</v>
      </c>
    </row>
    <row r="50" spans="1:5" x14ac:dyDescent="0.2">
      <c r="A50" s="52" t="s">
        <v>1149</v>
      </c>
      <c r="B50" s="52">
        <v>49</v>
      </c>
      <c r="C50" s="28" t="s">
        <v>385</v>
      </c>
      <c r="D50" s="49" t="s">
        <v>275</v>
      </c>
      <c r="E50" s="49">
        <v>1</v>
      </c>
    </row>
    <row r="51" spans="1:5" x14ac:dyDescent="0.2">
      <c r="A51" s="52" t="s">
        <v>1149</v>
      </c>
      <c r="B51" s="52">
        <v>50</v>
      </c>
      <c r="C51" s="28" t="s">
        <v>388</v>
      </c>
      <c r="D51" s="49" t="s">
        <v>275</v>
      </c>
      <c r="E51" s="49">
        <v>1</v>
      </c>
    </row>
    <row r="52" spans="1:5" x14ac:dyDescent="0.2">
      <c r="A52" s="52" t="s">
        <v>1149</v>
      </c>
      <c r="B52" s="52">
        <v>51</v>
      </c>
      <c r="C52" s="28" t="s">
        <v>391</v>
      </c>
      <c r="D52" s="49" t="s">
        <v>275</v>
      </c>
      <c r="E52" s="49">
        <v>1</v>
      </c>
    </row>
    <row r="53" spans="1:5" x14ac:dyDescent="0.2">
      <c r="A53" s="52" t="s">
        <v>1149</v>
      </c>
      <c r="B53" s="52">
        <v>52</v>
      </c>
      <c r="C53" s="28" t="s">
        <v>393</v>
      </c>
      <c r="D53" s="49" t="s">
        <v>281</v>
      </c>
      <c r="E53" s="49">
        <v>3</v>
      </c>
    </row>
    <row r="54" spans="1:5" x14ac:dyDescent="0.2">
      <c r="A54" s="52" t="s">
        <v>1149</v>
      </c>
      <c r="B54" s="52">
        <v>53</v>
      </c>
      <c r="C54" s="28" t="s">
        <v>395</v>
      </c>
      <c r="D54" s="49" t="s">
        <v>275</v>
      </c>
      <c r="E54" s="49">
        <v>1</v>
      </c>
    </row>
    <row r="55" spans="1:5" x14ac:dyDescent="0.2">
      <c r="A55" s="52" t="s">
        <v>1149</v>
      </c>
      <c r="B55" s="52">
        <v>54</v>
      </c>
      <c r="C55" s="28" t="s">
        <v>397</v>
      </c>
      <c r="D55" s="49" t="s">
        <v>275</v>
      </c>
      <c r="E55" s="49">
        <v>1</v>
      </c>
    </row>
    <row r="56" spans="1:5" x14ac:dyDescent="0.2">
      <c r="A56" s="52" t="s">
        <v>1149</v>
      </c>
      <c r="B56" s="52">
        <v>55</v>
      </c>
      <c r="C56" s="28" t="s">
        <v>399</v>
      </c>
      <c r="D56" s="49" t="s">
        <v>275</v>
      </c>
      <c r="E56" s="49">
        <v>1</v>
      </c>
    </row>
    <row r="57" spans="1:5" x14ac:dyDescent="0.2">
      <c r="A57" s="52" t="s">
        <v>1149</v>
      </c>
      <c r="B57" s="52">
        <v>56</v>
      </c>
      <c r="C57" s="28" t="s">
        <v>401</v>
      </c>
      <c r="D57" s="49" t="s">
        <v>275</v>
      </c>
      <c r="E57" s="49">
        <v>1</v>
      </c>
    </row>
    <row r="58" spans="1:5" x14ac:dyDescent="0.2">
      <c r="A58" s="52" t="s">
        <v>1149</v>
      </c>
      <c r="B58" s="52">
        <v>57</v>
      </c>
      <c r="C58" s="28" t="s">
        <v>403</v>
      </c>
      <c r="D58" s="49" t="s">
        <v>275</v>
      </c>
      <c r="E58" s="49">
        <v>1</v>
      </c>
    </row>
    <row r="59" spans="1:5" x14ac:dyDescent="0.2">
      <c r="A59" s="52" t="s">
        <v>1149</v>
      </c>
      <c r="B59" s="52">
        <v>58</v>
      </c>
      <c r="C59" s="28" t="s">
        <v>405</v>
      </c>
      <c r="D59" s="49" t="s">
        <v>275</v>
      </c>
      <c r="E59" s="49">
        <v>1</v>
      </c>
    </row>
    <row r="60" spans="1:5" x14ac:dyDescent="0.2">
      <c r="A60" s="52" t="s">
        <v>1149</v>
      </c>
      <c r="B60" s="52">
        <v>59</v>
      </c>
      <c r="C60" s="28" t="s">
        <v>407</v>
      </c>
      <c r="D60" s="49" t="s">
        <v>275</v>
      </c>
      <c r="E60" s="49">
        <v>1</v>
      </c>
    </row>
    <row r="61" spans="1:5" x14ac:dyDescent="0.2">
      <c r="A61" s="52" t="s">
        <v>1149</v>
      </c>
      <c r="B61" s="52">
        <v>60</v>
      </c>
      <c r="C61" s="28" t="s">
        <v>409</v>
      </c>
      <c r="D61" s="49" t="s">
        <v>281</v>
      </c>
      <c r="E61" s="49">
        <v>3</v>
      </c>
    </row>
    <row r="62" spans="1:5" x14ac:dyDescent="0.2">
      <c r="A62" s="52" t="s">
        <v>1149</v>
      </c>
      <c r="B62" s="52">
        <v>61</v>
      </c>
      <c r="C62" s="28" t="s">
        <v>412</v>
      </c>
      <c r="D62" s="49" t="s">
        <v>279</v>
      </c>
      <c r="E62" s="49">
        <v>5</v>
      </c>
    </row>
    <row r="63" spans="1:5" x14ac:dyDescent="0.2">
      <c r="A63" s="52" t="s">
        <v>1149</v>
      </c>
      <c r="B63" s="52">
        <v>62</v>
      </c>
      <c r="C63" s="28" t="s">
        <v>414</v>
      </c>
      <c r="D63" s="49" t="s">
        <v>275</v>
      </c>
      <c r="E63" s="49">
        <v>1</v>
      </c>
    </row>
    <row r="64" spans="1:5" x14ac:dyDescent="0.2">
      <c r="A64" s="52" t="s">
        <v>1149</v>
      </c>
      <c r="B64" s="52">
        <v>63</v>
      </c>
      <c r="C64" s="28" t="s">
        <v>416</v>
      </c>
      <c r="D64" s="49" t="s">
        <v>281</v>
      </c>
      <c r="E64" s="49">
        <v>3</v>
      </c>
    </row>
    <row r="65" spans="1:5" x14ac:dyDescent="0.2">
      <c r="A65" s="52" t="s">
        <v>1149</v>
      </c>
      <c r="B65" s="52">
        <v>64</v>
      </c>
      <c r="C65" s="28" t="s">
        <v>418</v>
      </c>
      <c r="D65" s="49" t="s">
        <v>275</v>
      </c>
      <c r="E65" s="49">
        <v>1</v>
      </c>
    </row>
    <row r="66" spans="1:5" x14ac:dyDescent="0.2">
      <c r="A66" s="52" t="s">
        <v>1149</v>
      </c>
      <c r="B66" s="52">
        <v>65</v>
      </c>
      <c r="C66" s="28" t="s">
        <v>420</v>
      </c>
      <c r="D66" s="49" t="s">
        <v>275</v>
      </c>
      <c r="E66" s="49">
        <v>1</v>
      </c>
    </row>
    <row r="67" spans="1:5" x14ac:dyDescent="0.2">
      <c r="A67" s="52" t="s">
        <v>1149</v>
      </c>
      <c r="B67" s="52">
        <v>66</v>
      </c>
      <c r="C67" s="28" t="s">
        <v>422</v>
      </c>
      <c r="D67" s="49" t="s">
        <v>281</v>
      </c>
      <c r="E67" s="49">
        <v>3</v>
      </c>
    </row>
    <row r="68" spans="1:5" x14ac:dyDescent="0.2">
      <c r="A68" s="52" t="s">
        <v>1149</v>
      </c>
      <c r="B68" s="52">
        <v>67</v>
      </c>
      <c r="C68" s="28" t="s">
        <v>424</v>
      </c>
      <c r="D68" s="49" t="s">
        <v>275</v>
      </c>
      <c r="E68" s="49">
        <v>1</v>
      </c>
    </row>
    <row r="69" spans="1:5" x14ac:dyDescent="0.2">
      <c r="A69" s="52" t="s">
        <v>1149</v>
      </c>
      <c r="B69" s="52">
        <v>68</v>
      </c>
      <c r="C69" s="28" t="s">
        <v>426</v>
      </c>
      <c r="D69" s="49" t="s">
        <v>275</v>
      </c>
      <c r="E69" s="49">
        <v>1</v>
      </c>
    </row>
    <row r="70" spans="1:5" x14ac:dyDescent="0.2">
      <c r="A70" s="52" t="s">
        <v>1149</v>
      </c>
      <c r="B70" s="52">
        <v>69</v>
      </c>
      <c r="C70" s="28" t="s">
        <v>428</v>
      </c>
      <c r="D70" s="49" t="s">
        <v>275</v>
      </c>
      <c r="E70" s="49">
        <v>1</v>
      </c>
    </row>
    <row r="71" spans="1:5" x14ac:dyDescent="0.2">
      <c r="A71" s="52" t="s">
        <v>1149</v>
      </c>
      <c r="B71" s="52">
        <v>70</v>
      </c>
      <c r="C71" s="28" t="s">
        <v>430</v>
      </c>
      <c r="D71" s="49" t="s">
        <v>281</v>
      </c>
      <c r="E71" s="49">
        <v>3</v>
      </c>
    </row>
    <row r="72" spans="1:5" x14ac:dyDescent="0.2">
      <c r="A72" s="52" t="s">
        <v>1149</v>
      </c>
      <c r="B72" s="52">
        <v>71</v>
      </c>
      <c r="C72" s="28" t="s">
        <v>432</v>
      </c>
      <c r="D72" s="49" t="s">
        <v>275</v>
      </c>
      <c r="E72" s="49">
        <v>1</v>
      </c>
    </row>
    <row r="73" spans="1:5" x14ac:dyDescent="0.2">
      <c r="A73" s="52" t="s">
        <v>1149</v>
      </c>
      <c r="B73" s="52">
        <v>72</v>
      </c>
      <c r="C73" s="28" t="s">
        <v>434</v>
      </c>
      <c r="D73" s="49" t="s">
        <v>281</v>
      </c>
      <c r="E73" s="49">
        <v>3</v>
      </c>
    </row>
    <row r="74" spans="1:5" x14ac:dyDescent="0.2">
      <c r="A74" s="52" t="s">
        <v>1149</v>
      </c>
      <c r="B74" s="52">
        <v>73</v>
      </c>
      <c r="C74" s="28" t="s">
        <v>436</v>
      </c>
      <c r="D74" s="49" t="s">
        <v>275</v>
      </c>
      <c r="E74" s="49">
        <v>1</v>
      </c>
    </row>
    <row r="75" spans="1:5" x14ac:dyDescent="0.2">
      <c r="A75" s="52" t="s">
        <v>1149</v>
      </c>
      <c r="B75" s="52">
        <v>74</v>
      </c>
      <c r="C75" s="28" t="s">
        <v>438</v>
      </c>
      <c r="D75" s="49" t="s">
        <v>275</v>
      </c>
      <c r="E75" s="49">
        <v>1</v>
      </c>
    </row>
    <row r="76" spans="1:5" x14ac:dyDescent="0.2">
      <c r="A76" s="52" t="s">
        <v>1149</v>
      </c>
      <c r="B76" s="52">
        <v>75</v>
      </c>
      <c r="C76" s="28" t="s">
        <v>440</v>
      </c>
      <c r="D76" s="49" t="s">
        <v>275</v>
      </c>
      <c r="E76" s="49">
        <v>1</v>
      </c>
    </row>
    <row r="77" spans="1:5" x14ac:dyDescent="0.2">
      <c r="A77" s="52" t="s">
        <v>1149</v>
      </c>
      <c r="B77" s="52">
        <v>76</v>
      </c>
      <c r="C77" s="28" t="s">
        <v>442</v>
      </c>
      <c r="D77" s="49" t="s">
        <v>281</v>
      </c>
      <c r="E77" s="49">
        <v>3</v>
      </c>
    </row>
    <row r="78" spans="1:5" x14ac:dyDescent="0.2">
      <c r="A78" s="52" t="s">
        <v>1149</v>
      </c>
      <c r="B78" s="52">
        <v>77</v>
      </c>
      <c r="C78" s="28" t="s">
        <v>444</v>
      </c>
      <c r="D78" s="49" t="s">
        <v>275</v>
      </c>
      <c r="E78" s="49">
        <v>1</v>
      </c>
    </row>
    <row r="79" spans="1:5" x14ac:dyDescent="0.2">
      <c r="A79" s="52" t="s">
        <v>1149</v>
      </c>
      <c r="B79" s="52">
        <v>78</v>
      </c>
      <c r="C79" s="28" t="s">
        <v>446</v>
      </c>
      <c r="D79" s="49" t="s">
        <v>275</v>
      </c>
      <c r="E79" s="49">
        <v>1</v>
      </c>
    </row>
    <row r="80" spans="1:5" x14ac:dyDescent="0.2">
      <c r="A80" s="52" t="s">
        <v>1149</v>
      </c>
      <c r="B80" s="52">
        <v>79</v>
      </c>
      <c r="C80" s="28" t="s">
        <v>448</v>
      </c>
      <c r="D80" s="49" t="s">
        <v>281</v>
      </c>
      <c r="E80" s="49">
        <v>3</v>
      </c>
    </row>
    <row r="81" spans="1:5" x14ac:dyDescent="0.2">
      <c r="A81" s="52" t="s">
        <v>1149</v>
      </c>
      <c r="B81" s="52">
        <v>80</v>
      </c>
      <c r="C81" s="28" t="s">
        <v>450</v>
      </c>
      <c r="D81" s="49" t="s">
        <v>275</v>
      </c>
      <c r="E81" s="49">
        <v>1</v>
      </c>
    </row>
    <row r="82" spans="1:5" x14ac:dyDescent="0.2">
      <c r="A82" s="52" t="s">
        <v>1149</v>
      </c>
      <c r="B82" s="52">
        <v>81</v>
      </c>
      <c r="C82" s="28" t="s">
        <v>452</v>
      </c>
      <c r="D82" s="49" t="s">
        <v>275</v>
      </c>
      <c r="E82" s="49">
        <v>1</v>
      </c>
    </row>
    <row r="83" spans="1:5" x14ac:dyDescent="0.2">
      <c r="A83" s="52" t="s">
        <v>1149</v>
      </c>
      <c r="B83" s="52">
        <v>82</v>
      </c>
      <c r="C83" s="28" t="s">
        <v>454</v>
      </c>
      <c r="D83" s="49" t="s">
        <v>275</v>
      </c>
      <c r="E83" s="49">
        <v>1</v>
      </c>
    </row>
    <row r="84" spans="1:5" x14ac:dyDescent="0.2">
      <c r="A84" s="52" t="s">
        <v>1149</v>
      </c>
      <c r="B84" s="52">
        <v>83</v>
      </c>
      <c r="C84" s="28" t="s">
        <v>456</v>
      </c>
      <c r="D84" s="49" t="s">
        <v>275</v>
      </c>
      <c r="E84" s="49">
        <v>1</v>
      </c>
    </row>
    <row r="85" spans="1:5" x14ac:dyDescent="0.2">
      <c r="A85" s="52" t="s">
        <v>1149</v>
      </c>
      <c r="B85" s="52">
        <v>84</v>
      </c>
      <c r="C85" s="28" t="s">
        <v>458</v>
      </c>
      <c r="D85" s="49" t="s">
        <v>275</v>
      </c>
      <c r="E85" s="49">
        <v>1</v>
      </c>
    </row>
    <row r="86" spans="1:5" x14ac:dyDescent="0.2">
      <c r="A86" s="52" t="s">
        <v>1149</v>
      </c>
      <c r="B86" s="52">
        <v>85</v>
      </c>
      <c r="C86" s="28" t="s">
        <v>460</v>
      </c>
      <c r="D86" s="49" t="s">
        <v>281</v>
      </c>
      <c r="E86" s="49">
        <v>3</v>
      </c>
    </row>
    <row r="87" spans="1:5" x14ac:dyDescent="0.2">
      <c r="A87" s="52" t="s">
        <v>1149</v>
      </c>
      <c r="B87" s="52">
        <v>86</v>
      </c>
      <c r="C87" s="28" t="s">
        <v>462</v>
      </c>
      <c r="D87" s="49" t="s">
        <v>275</v>
      </c>
      <c r="E87" s="49">
        <v>1</v>
      </c>
    </row>
    <row r="88" spans="1:5" x14ac:dyDescent="0.2">
      <c r="A88" s="52" t="s">
        <v>1149</v>
      </c>
      <c r="B88" s="52">
        <v>87</v>
      </c>
      <c r="C88" s="28" t="s">
        <v>464</v>
      </c>
      <c r="D88" s="49" t="s">
        <v>275</v>
      </c>
      <c r="E88" s="49">
        <v>1</v>
      </c>
    </row>
    <row r="89" spans="1:5" x14ac:dyDescent="0.2">
      <c r="A89" s="52" t="s">
        <v>1149</v>
      </c>
      <c r="B89" s="52">
        <v>88</v>
      </c>
      <c r="C89" s="28" t="s">
        <v>466</v>
      </c>
      <c r="D89" s="49" t="s">
        <v>281</v>
      </c>
      <c r="E89" s="49">
        <v>3</v>
      </c>
    </row>
    <row r="90" spans="1:5" x14ac:dyDescent="0.2">
      <c r="A90" s="52" t="s">
        <v>1149</v>
      </c>
      <c r="B90" s="52">
        <v>89</v>
      </c>
      <c r="C90" s="28" t="s">
        <v>468</v>
      </c>
      <c r="D90" s="49" t="s">
        <v>275</v>
      </c>
      <c r="E90" s="49">
        <v>1</v>
      </c>
    </row>
    <row r="91" spans="1:5" x14ac:dyDescent="0.2">
      <c r="A91" s="52" t="s">
        <v>1149</v>
      </c>
      <c r="B91" s="52">
        <v>90</v>
      </c>
      <c r="C91" s="28" t="s">
        <v>470</v>
      </c>
      <c r="D91" s="49" t="s">
        <v>275</v>
      </c>
      <c r="E91" s="49">
        <v>1</v>
      </c>
    </row>
    <row r="92" spans="1:5" x14ac:dyDescent="0.2">
      <c r="A92" s="52" t="s">
        <v>1149</v>
      </c>
      <c r="B92" s="52">
        <v>91</v>
      </c>
      <c r="C92" s="28" t="s">
        <v>472</v>
      </c>
      <c r="D92" s="49" t="s">
        <v>275</v>
      </c>
      <c r="E92" s="49">
        <v>1</v>
      </c>
    </row>
    <row r="93" spans="1:5" x14ac:dyDescent="0.2">
      <c r="A93" s="52" t="s">
        <v>1149</v>
      </c>
      <c r="B93" s="52">
        <v>92</v>
      </c>
      <c r="C93" s="28" t="s">
        <v>474</v>
      </c>
      <c r="D93" s="49" t="s">
        <v>281</v>
      </c>
      <c r="E93" s="49">
        <v>3</v>
      </c>
    </row>
    <row r="94" spans="1:5" x14ac:dyDescent="0.2">
      <c r="A94" s="52" t="s">
        <v>1149</v>
      </c>
      <c r="B94" s="52">
        <v>93</v>
      </c>
      <c r="C94" s="28" t="s">
        <v>476</v>
      </c>
      <c r="D94" s="49" t="s">
        <v>275</v>
      </c>
      <c r="E94" s="49">
        <v>1</v>
      </c>
    </row>
    <row r="95" spans="1:5" x14ac:dyDescent="0.2">
      <c r="A95" s="52" t="s">
        <v>1149</v>
      </c>
      <c r="B95" s="52">
        <v>94</v>
      </c>
      <c r="C95" s="28" t="s">
        <v>478</v>
      </c>
      <c r="D95" s="49" t="s">
        <v>281</v>
      </c>
      <c r="E95" s="49">
        <v>3</v>
      </c>
    </row>
    <row r="96" spans="1:5" x14ac:dyDescent="0.2">
      <c r="A96" s="52" t="s">
        <v>1149</v>
      </c>
      <c r="B96" s="52">
        <v>95</v>
      </c>
      <c r="C96" s="28" t="s">
        <v>480</v>
      </c>
      <c r="D96" s="49" t="s">
        <v>275</v>
      </c>
      <c r="E96" s="49">
        <v>1</v>
      </c>
    </row>
    <row r="97" spans="1:5" x14ac:dyDescent="0.2">
      <c r="A97" s="52" t="s">
        <v>1149</v>
      </c>
      <c r="B97" s="52">
        <v>96</v>
      </c>
      <c r="C97" s="28" t="s">
        <v>482</v>
      </c>
      <c r="D97" s="49" t="s">
        <v>281</v>
      </c>
      <c r="E97" s="49">
        <v>3</v>
      </c>
    </row>
    <row r="98" spans="1:5" x14ac:dyDescent="0.2">
      <c r="A98" s="52" t="s">
        <v>1149</v>
      </c>
      <c r="B98" s="52">
        <v>97</v>
      </c>
      <c r="C98" s="28" t="s">
        <v>484</v>
      </c>
      <c r="D98" s="49" t="s">
        <v>275</v>
      </c>
      <c r="E98" s="49">
        <v>1</v>
      </c>
    </row>
    <row r="99" spans="1:5" x14ac:dyDescent="0.2">
      <c r="A99" s="52" t="s">
        <v>1149</v>
      </c>
      <c r="B99" s="52">
        <v>98</v>
      </c>
      <c r="C99" s="28" t="s">
        <v>486</v>
      </c>
      <c r="D99" s="49" t="s">
        <v>275</v>
      </c>
      <c r="E99" s="49">
        <v>1</v>
      </c>
    </row>
    <row r="100" spans="1:5" x14ac:dyDescent="0.2">
      <c r="A100" s="52" t="s">
        <v>1149</v>
      </c>
      <c r="B100" s="52">
        <v>99</v>
      </c>
      <c r="C100" s="28" t="s">
        <v>488</v>
      </c>
      <c r="D100" s="49" t="s">
        <v>281</v>
      </c>
      <c r="E100" s="49">
        <v>3</v>
      </c>
    </row>
    <row r="101" spans="1:5" x14ac:dyDescent="0.2">
      <c r="A101" s="52" t="s">
        <v>1149</v>
      </c>
      <c r="B101" s="52">
        <v>100</v>
      </c>
      <c r="C101" s="28" t="s">
        <v>490</v>
      </c>
      <c r="D101" s="49" t="s">
        <v>275</v>
      </c>
      <c r="E101" s="49">
        <v>1</v>
      </c>
    </row>
    <row r="102" spans="1:5" x14ac:dyDescent="0.2">
      <c r="A102" s="52" t="s">
        <v>1149</v>
      </c>
      <c r="B102" s="52">
        <v>101</v>
      </c>
      <c r="C102" s="28" t="s">
        <v>492</v>
      </c>
      <c r="D102" s="49" t="s">
        <v>281</v>
      </c>
      <c r="E102" s="49">
        <v>3</v>
      </c>
    </row>
    <row r="103" spans="1:5" x14ac:dyDescent="0.2">
      <c r="A103" s="52" t="s">
        <v>1149</v>
      </c>
      <c r="B103" s="52">
        <v>102</v>
      </c>
      <c r="C103" s="28" t="s">
        <v>494</v>
      </c>
      <c r="D103" s="49" t="s">
        <v>281</v>
      </c>
      <c r="E103" s="49">
        <v>3</v>
      </c>
    </row>
    <row r="104" spans="1:5" x14ac:dyDescent="0.2">
      <c r="A104" s="52" t="s">
        <v>1149</v>
      </c>
      <c r="B104" s="52">
        <v>103</v>
      </c>
      <c r="C104" s="28" t="s">
        <v>496</v>
      </c>
      <c r="D104" s="49" t="s">
        <v>275</v>
      </c>
      <c r="E104" s="49">
        <v>1</v>
      </c>
    </row>
    <row r="105" spans="1:5" x14ac:dyDescent="0.2">
      <c r="A105" s="52" t="s">
        <v>1149</v>
      </c>
      <c r="B105" s="52">
        <v>104</v>
      </c>
      <c r="C105" s="28" t="s">
        <v>498</v>
      </c>
      <c r="D105" s="49" t="s">
        <v>275</v>
      </c>
      <c r="E105" s="49">
        <v>1</v>
      </c>
    </row>
    <row r="106" spans="1:5" x14ac:dyDescent="0.2">
      <c r="A106" s="52" t="s">
        <v>1149</v>
      </c>
      <c r="B106" s="52">
        <v>105</v>
      </c>
      <c r="C106" s="28" t="s">
        <v>500</v>
      </c>
      <c r="D106" s="49" t="s">
        <v>275</v>
      </c>
      <c r="E106" s="49">
        <v>1</v>
      </c>
    </row>
    <row r="107" spans="1:5" x14ac:dyDescent="0.2">
      <c r="A107" s="52" t="s">
        <v>1149</v>
      </c>
      <c r="B107" s="52">
        <v>106</v>
      </c>
      <c r="C107" s="28" t="s">
        <v>502</v>
      </c>
      <c r="D107" s="49" t="s">
        <v>275</v>
      </c>
      <c r="E107" s="49">
        <v>1</v>
      </c>
    </row>
    <row r="108" spans="1:5" x14ac:dyDescent="0.2">
      <c r="A108" s="52" t="s">
        <v>1149</v>
      </c>
      <c r="B108" s="52">
        <v>107</v>
      </c>
      <c r="C108" s="28" t="s">
        <v>504</v>
      </c>
      <c r="D108" s="49" t="s">
        <v>275</v>
      </c>
      <c r="E108" s="49">
        <v>1</v>
      </c>
    </row>
    <row r="109" spans="1:5" x14ac:dyDescent="0.2">
      <c r="A109" s="52" t="s">
        <v>1149</v>
      </c>
      <c r="B109" s="52">
        <v>108</v>
      </c>
      <c r="C109" s="28" t="s">
        <v>507</v>
      </c>
      <c r="D109" s="49" t="s">
        <v>275</v>
      </c>
      <c r="E109" s="49">
        <v>1</v>
      </c>
    </row>
    <row r="110" spans="1:5" x14ac:dyDescent="0.2">
      <c r="A110" s="52" t="s">
        <v>1149</v>
      </c>
      <c r="B110" s="52">
        <v>109</v>
      </c>
      <c r="C110" s="28" t="s">
        <v>509</v>
      </c>
      <c r="D110" s="49" t="s">
        <v>275</v>
      </c>
      <c r="E110" s="49">
        <v>1</v>
      </c>
    </row>
    <row r="111" spans="1:5" x14ac:dyDescent="0.2">
      <c r="A111" s="52" t="s">
        <v>1149</v>
      </c>
      <c r="B111" s="52">
        <v>110</v>
      </c>
      <c r="C111" s="28" t="s">
        <v>511</v>
      </c>
      <c r="D111" s="49" t="s">
        <v>275</v>
      </c>
      <c r="E111" s="49">
        <v>1</v>
      </c>
    </row>
    <row r="112" spans="1:5" x14ac:dyDescent="0.2">
      <c r="A112" s="52" t="s">
        <v>1149</v>
      </c>
      <c r="B112" s="52">
        <v>111</v>
      </c>
      <c r="C112" s="28" t="s">
        <v>513</v>
      </c>
      <c r="D112" s="49" t="s">
        <v>275</v>
      </c>
      <c r="E112" s="49">
        <v>1</v>
      </c>
    </row>
    <row r="113" spans="1:5" x14ac:dyDescent="0.2">
      <c r="A113" s="52" t="s">
        <v>1149</v>
      </c>
      <c r="B113" s="52">
        <v>112</v>
      </c>
      <c r="C113" s="28" t="s">
        <v>515</v>
      </c>
      <c r="D113" s="49" t="s">
        <v>281</v>
      </c>
      <c r="E113" s="49">
        <v>3</v>
      </c>
    </row>
    <row r="114" spans="1:5" x14ac:dyDescent="0.2">
      <c r="A114" s="52" t="s">
        <v>1149</v>
      </c>
      <c r="B114" s="52">
        <v>113</v>
      </c>
      <c r="C114" s="28" t="s">
        <v>517</v>
      </c>
      <c r="D114" s="49" t="s">
        <v>275</v>
      </c>
      <c r="E114" s="49">
        <v>1</v>
      </c>
    </row>
    <row r="115" spans="1:5" x14ac:dyDescent="0.2">
      <c r="A115" s="52" t="s">
        <v>1149</v>
      </c>
      <c r="B115" s="52">
        <v>114</v>
      </c>
      <c r="C115" s="28" t="s">
        <v>519</v>
      </c>
      <c r="D115" s="49" t="s">
        <v>281</v>
      </c>
      <c r="E115" s="49">
        <v>3</v>
      </c>
    </row>
    <row r="116" spans="1:5" x14ac:dyDescent="0.2">
      <c r="A116" s="52" t="s">
        <v>1149</v>
      </c>
      <c r="B116" s="52">
        <v>115</v>
      </c>
      <c r="C116" s="28" t="s">
        <v>521</v>
      </c>
      <c r="D116" s="49" t="s">
        <v>275</v>
      </c>
      <c r="E116" s="49">
        <v>1</v>
      </c>
    </row>
    <row r="117" spans="1:5" x14ac:dyDescent="0.2">
      <c r="A117" s="52" t="s">
        <v>1149</v>
      </c>
      <c r="B117" s="52">
        <v>116</v>
      </c>
      <c r="C117" s="28" t="s">
        <v>523</v>
      </c>
      <c r="D117" s="49" t="s">
        <v>281</v>
      </c>
      <c r="E117" s="49">
        <v>3</v>
      </c>
    </row>
    <row r="118" spans="1:5" x14ac:dyDescent="0.2">
      <c r="A118" s="52" t="s">
        <v>1149</v>
      </c>
      <c r="B118" s="52">
        <v>117</v>
      </c>
      <c r="C118" s="28" t="s">
        <v>525</v>
      </c>
      <c r="D118" s="49" t="s">
        <v>275</v>
      </c>
      <c r="E118" s="49">
        <v>1</v>
      </c>
    </row>
    <row r="119" spans="1:5" x14ac:dyDescent="0.2">
      <c r="A119" s="52" t="s">
        <v>1149</v>
      </c>
      <c r="B119" s="52">
        <v>118</v>
      </c>
      <c r="C119" s="28" t="s">
        <v>527</v>
      </c>
      <c r="D119" s="49" t="s">
        <v>275</v>
      </c>
      <c r="E119" s="49">
        <v>1</v>
      </c>
    </row>
    <row r="120" spans="1:5" x14ac:dyDescent="0.2">
      <c r="A120" s="52" t="s">
        <v>1149</v>
      </c>
      <c r="B120" s="52">
        <v>119</v>
      </c>
      <c r="C120" s="28" t="s">
        <v>529</v>
      </c>
      <c r="D120" s="49" t="s">
        <v>275</v>
      </c>
      <c r="E120" s="49">
        <v>1</v>
      </c>
    </row>
    <row r="121" spans="1:5" x14ac:dyDescent="0.2">
      <c r="A121" s="52" t="s">
        <v>1149</v>
      </c>
      <c r="B121" s="52">
        <v>120</v>
      </c>
      <c r="C121" s="28" t="s">
        <v>531</v>
      </c>
      <c r="D121" s="49" t="s">
        <v>275</v>
      </c>
      <c r="E121" s="49">
        <v>1</v>
      </c>
    </row>
    <row r="122" spans="1:5" x14ac:dyDescent="0.2">
      <c r="A122" s="52" t="s">
        <v>1149</v>
      </c>
      <c r="B122" s="52">
        <v>121</v>
      </c>
      <c r="C122" s="28" t="s">
        <v>533</v>
      </c>
      <c r="D122" s="49" t="s">
        <v>281</v>
      </c>
      <c r="E122" s="49">
        <v>3</v>
      </c>
    </row>
    <row r="123" spans="1:5" x14ac:dyDescent="0.2">
      <c r="A123" s="52" t="s">
        <v>1149</v>
      </c>
      <c r="B123" s="52">
        <v>122</v>
      </c>
      <c r="C123" s="28" t="s">
        <v>535</v>
      </c>
      <c r="D123" s="49" t="s">
        <v>281</v>
      </c>
      <c r="E123" s="49">
        <v>3</v>
      </c>
    </row>
    <row r="124" spans="1:5" x14ac:dyDescent="0.2">
      <c r="A124" s="52" t="s">
        <v>1149</v>
      </c>
      <c r="B124" s="52">
        <v>123</v>
      </c>
      <c r="C124" s="28" t="s">
        <v>537</v>
      </c>
      <c r="D124" s="49" t="s">
        <v>275</v>
      </c>
      <c r="E124" s="49">
        <v>1</v>
      </c>
    </row>
    <row r="125" spans="1:5" x14ac:dyDescent="0.2">
      <c r="A125" s="52" t="s">
        <v>1149</v>
      </c>
      <c r="B125" s="52">
        <v>124</v>
      </c>
      <c r="C125" s="28" t="s">
        <v>539</v>
      </c>
      <c r="D125" s="49" t="s">
        <v>275</v>
      </c>
      <c r="E125" s="49">
        <v>1</v>
      </c>
    </row>
    <row r="126" spans="1:5" x14ac:dyDescent="0.2">
      <c r="A126" s="52" t="s">
        <v>1149</v>
      </c>
      <c r="B126" s="52">
        <v>125</v>
      </c>
      <c r="C126" s="28" t="s">
        <v>541</v>
      </c>
      <c r="D126" s="49" t="s">
        <v>275</v>
      </c>
      <c r="E126" s="49">
        <v>1</v>
      </c>
    </row>
    <row r="127" spans="1:5" x14ac:dyDescent="0.2">
      <c r="A127" s="52" t="s">
        <v>1149</v>
      </c>
      <c r="B127" s="52">
        <v>126</v>
      </c>
      <c r="C127" s="28" t="s">
        <v>543</v>
      </c>
      <c r="D127" s="49" t="s">
        <v>275</v>
      </c>
      <c r="E127" s="49">
        <v>1</v>
      </c>
    </row>
    <row r="128" spans="1:5" x14ac:dyDescent="0.2">
      <c r="A128" s="52" t="s">
        <v>1149</v>
      </c>
      <c r="B128" s="52">
        <v>127</v>
      </c>
      <c r="C128" s="28" t="s">
        <v>545</v>
      </c>
      <c r="D128" s="49" t="s">
        <v>275</v>
      </c>
      <c r="E128" s="49">
        <v>1</v>
      </c>
    </row>
    <row r="129" spans="1:5" x14ac:dyDescent="0.2">
      <c r="A129" s="52" t="s">
        <v>1149</v>
      </c>
      <c r="B129" s="52">
        <v>128</v>
      </c>
      <c r="C129" s="28" t="s">
        <v>547</v>
      </c>
      <c r="D129" s="49" t="s">
        <v>275</v>
      </c>
      <c r="E129" s="49">
        <v>1</v>
      </c>
    </row>
    <row r="130" spans="1:5" x14ac:dyDescent="0.2">
      <c r="A130" s="52" t="s">
        <v>1149</v>
      </c>
      <c r="B130" s="52">
        <v>129</v>
      </c>
      <c r="C130" s="28" t="s">
        <v>550</v>
      </c>
      <c r="D130" s="49" t="s">
        <v>275</v>
      </c>
      <c r="E130" s="49">
        <v>1</v>
      </c>
    </row>
    <row r="131" spans="1:5" x14ac:dyDescent="0.2">
      <c r="A131" s="52" t="s">
        <v>1149</v>
      </c>
      <c r="B131" s="52">
        <v>130</v>
      </c>
      <c r="C131" s="28" t="s">
        <v>552</v>
      </c>
      <c r="D131" s="49" t="s">
        <v>281</v>
      </c>
      <c r="E131" s="49">
        <v>3</v>
      </c>
    </row>
    <row r="132" spans="1:5" x14ac:dyDescent="0.2">
      <c r="A132" s="52" t="s">
        <v>1149</v>
      </c>
      <c r="B132" s="52">
        <v>131</v>
      </c>
      <c r="C132" s="28" t="s">
        <v>554</v>
      </c>
      <c r="D132" s="49" t="s">
        <v>275</v>
      </c>
      <c r="E132" s="49">
        <v>1</v>
      </c>
    </row>
    <row r="133" spans="1:5" x14ac:dyDescent="0.2">
      <c r="A133" s="52" t="s">
        <v>1149</v>
      </c>
      <c r="B133" s="52">
        <v>132</v>
      </c>
      <c r="C133" s="28" t="s">
        <v>556</v>
      </c>
      <c r="D133" s="49" t="s">
        <v>275</v>
      </c>
      <c r="E133" s="49">
        <v>1</v>
      </c>
    </row>
    <row r="134" spans="1:5" x14ac:dyDescent="0.2">
      <c r="A134" s="52" t="s">
        <v>1149</v>
      </c>
      <c r="B134" s="52">
        <v>133</v>
      </c>
      <c r="C134" s="28" t="s">
        <v>559</v>
      </c>
      <c r="D134" s="49" t="s">
        <v>281</v>
      </c>
      <c r="E134" s="49">
        <v>3</v>
      </c>
    </row>
    <row r="135" spans="1:5" x14ac:dyDescent="0.2">
      <c r="A135" s="52" t="s">
        <v>1149</v>
      </c>
      <c r="B135" s="52">
        <v>134</v>
      </c>
      <c r="C135" s="28" t="s">
        <v>561</v>
      </c>
      <c r="D135" s="49" t="s">
        <v>281</v>
      </c>
      <c r="E135" s="49">
        <v>3</v>
      </c>
    </row>
    <row r="136" spans="1:5" x14ac:dyDescent="0.2">
      <c r="A136" s="52" t="s">
        <v>1149</v>
      </c>
      <c r="B136" s="52">
        <v>135</v>
      </c>
      <c r="C136" s="28" t="s">
        <v>563</v>
      </c>
      <c r="D136" s="49" t="s">
        <v>275</v>
      </c>
      <c r="E136" s="49">
        <v>1</v>
      </c>
    </row>
    <row r="137" spans="1:5" x14ac:dyDescent="0.2">
      <c r="A137" s="52" t="s">
        <v>1149</v>
      </c>
      <c r="B137" s="52">
        <v>136</v>
      </c>
      <c r="C137" s="28" t="s">
        <v>565</v>
      </c>
      <c r="D137" s="49" t="s">
        <v>281</v>
      </c>
      <c r="E137" s="49">
        <v>3</v>
      </c>
    </row>
    <row r="138" spans="1:5" x14ac:dyDescent="0.2">
      <c r="A138" s="52" t="s">
        <v>1149</v>
      </c>
      <c r="B138" s="52">
        <v>137</v>
      </c>
      <c r="C138" s="28" t="s">
        <v>567</v>
      </c>
      <c r="D138" s="49" t="s">
        <v>281</v>
      </c>
      <c r="E138" s="49">
        <v>3</v>
      </c>
    </row>
    <row r="139" spans="1:5" x14ac:dyDescent="0.2">
      <c r="A139" s="52" t="s">
        <v>1149</v>
      </c>
      <c r="B139" s="52">
        <v>138</v>
      </c>
      <c r="C139" s="28" t="s">
        <v>569</v>
      </c>
      <c r="D139" s="49" t="s">
        <v>275</v>
      </c>
      <c r="E139" s="49">
        <v>1</v>
      </c>
    </row>
    <row r="140" spans="1:5" x14ac:dyDescent="0.2">
      <c r="A140" s="52" t="s">
        <v>1149</v>
      </c>
      <c r="B140" s="52">
        <v>139</v>
      </c>
      <c r="C140" s="28" t="s">
        <v>571</v>
      </c>
      <c r="D140" s="49" t="s">
        <v>275</v>
      </c>
      <c r="E140" s="49">
        <v>1</v>
      </c>
    </row>
    <row r="141" spans="1:5" x14ac:dyDescent="0.2">
      <c r="A141" s="52" t="s">
        <v>1149</v>
      </c>
      <c r="B141" s="52">
        <v>140</v>
      </c>
      <c r="C141" s="28" t="s">
        <v>573</v>
      </c>
      <c r="D141" s="49" t="s">
        <v>275</v>
      </c>
      <c r="E141" s="49">
        <v>1</v>
      </c>
    </row>
    <row r="142" spans="1:5" x14ac:dyDescent="0.2">
      <c r="A142" s="52" t="s">
        <v>1149</v>
      </c>
      <c r="B142" s="52">
        <v>141</v>
      </c>
      <c r="C142" s="28" t="s">
        <v>575</v>
      </c>
      <c r="D142" s="49" t="s">
        <v>281</v>
      </c>
      <c r="E142" s="49">
        <v>3</v>
      </c>
    </row>
    <row r="143" spans="1:5" x14ac:dyDescent="0.2">
      <c r="A143" s="52" t="s">
        <v>1149</v>
      </c>
      <c r="B143" s="52">
        <v>142</v>
      </c>
      <c r="C143" s="28" t="s">
        <v>577</v>
      </c>
      <c r="D143" s="49" t="s">
        <v>275</v>
      </c>
      <c r="E143" s="49">
        <v>1</v>
      </c>
    </row>
    <row r="144" spans="1:5" x14ac:dyDescent="0.2">
      <c r="A144" s="52" t="s">
        <v>1149</v>
      </c>
      <c r="B144" s="52">
        <v>143</v>
      </c>
      <c r="C144" s="28" t="s">
        <v>579</v>
      </c>
      <c r="D144" s="49" t="s">
        <v>275</v>
      </c>
      <c r="E144" s="49">
        <v>1</v>
      </c>
    </row>
    <row r="145" spans="1:5" x14ac:dyDescent="0.2">
      <c r="A145" s="52" t="s">
        <v>1149</v>
      </c>
      <c r="B145" s="52">
        <v>144</v>
      </c>
      <c r="C145" s="28" t="s">
        <v>581</v>
      </c>
      <c r="D145" s="49" t="s">
        <v>275</v>
      </c>
      <c r="E145" s="49">
        <v>1</v>
      </c>
    </row>
    <row r="146" spans="1:5" x14ac:dyDescent="0.2">
      <c r="A146" s="52" t="s">
        <v>1149</v>
      </c>
      <c r="B146" s="52">
        <v>145</v>
      </c>
      <c r="C146" s="28" t="s">
        <v>583</v>
      </c>
      <c r="D146" s="49" t="s">
        <v>281</v>
      </c>
      <c r="E146" s="49">
        <v>3</v>
      </c>
    </row>
    <row r="147" spans="1:5" x14ac:dyDescent="0.2">
      <c r="A147" s="52" t="s">
        <v>1149</v>
      </c>
      <c r="B147" s="52">
        <v>146</v>
      </c>
      <c r="C147" s="28" t="s">
        <v>585</v>
      </c>
      <c r="D147" s="49" t="s">
        <v>281</v>
      </c>
      <c r="E147" s="49">
        <v>3</v>
      </c>
    </row>
    <row r="148" spans="1:5" x14ac:dyDescent="0.2">
      <c r="A148" s="52" t="s">
        <v>1149</v>
      </c>
      <c r="B148" s="52">
        <v>147</v>
      </c>
      <c r="C148" s="28" t="s">
        <v>587</v>
      </c>
      <c r="D148" s="49" t="s">
        <v>275</v>
      </c>
      <c r="E148" s="49">
        <v>1</v>
      </c>
    </row>
    <row r="149" spans="1:5" x14ac:dyDescent="0.2">
      <c r="A149" s="52" t="s">
        <v>1149</v>
      </c>
      <c r="B149" s="52">
        <v>148</v>
      </c>
      <c r="C149" s="28" t="s">
        <v>589</v>
      </c>
      <c r="D149" s="49" t="s">
        <v>281</v>
      </c>
      <c r="E149" s="49">
        <v>3</v>
      </c>
    </row>
    <row r="150" spans="1:5" x14ac:dyDescent="0.2">
      <c r="A150" s="52" t="s">
        <v>1149</v>
      </c>
      <c r="B150" s="52">
        <v>149</v>
      </c>
      <c r="C150" s="28" t="s">
        <v>591</v>
      </c>
      <c r="D150" s="49" t="s">
        <v>281</v>
      </c>
      <c r="E150" s="49">
        <v>3</v>
      </c>
    </row>
    <row r="151" spans="1:5" x14ac:dyDescent="0.2">
      <c r="A151" s="52" t="s">
        <v>1149</v>
      </c>
      <c r="B151" s="52">
        <v>150</v>
      </c>
      <c r="C151" s="28" t="s">
        <v>593</v>
      </c>
      <c r="D151" s="49" t="s">
        <v>275</v>
      </c>
      <c r="E151" s="49">
        <v>1</v>
      </c>
    </row>
    <row r="152" spans="1:5" x14ac:dyDescent="0.2">
      <c r="A152" s="52" t="s">
        <v>1149</v>
      </c>
      <c r="B152" s="52">
        <v>151</v>
      </c>
      <c r="C152" s="28" t="s">
        <v>595</v>
      </c>
      <c r="D152" s="49" t="s">
        <v>275</v>
      </c>
      <c r="E152" s="49">
        <v>1</v>
      </c>
    </row>
    <row r="153" spans="1:5" x14ac:dyDescent="0.2">
      <c r="A153" s="52" t="s">
        <v>1149</v>
      </c>
      <c r="B153" s="52">
        <v>152</v>
      </c>
      <c r="C153" s="28" t="s">
        <v>597</v>
      </c>
      <c r="D153" s="49" t="s">
        <v>281</v>
      </c>
      <c r="E153" s="49">
        <v>3</v>
      </c>
    </row>
    <row r="154" spans="1:5" x14ac:dyDescent="0.2">
      <c r="A154" s="52" t="s">
        <v>1149</v>
      </c>
      <c r="B154" s="52">
        <v>153</v>
      </c>
      <c r="C154" s="28" t="s">
        <v>599</v>
      </c>
      <c r="D154" s="49" t="s">
        <v>275</v>
      </c>
      <c r="E154" s="49">
        <v>1</v>
      </c>
    </row>
    <row r="155" spans="1:5" x14ac:dyDescent="0.2">
      <c r="A155" s="52" t="s">
        <v>1149</v>
      </c>
      <c r="B155" s="52">
        <v>154</v>
      </c>
      <c r="C155" s="28" t="s">
        <v>601</v>
      </c>
      <c r="D155" s="49" t="s">
        <v>275</v>
      </c>
      <c r="E155" s="49">
        <v>1</v>
      </c>
    </row>
    <row r="156" spans="1:5" x14ac:dyDescent="0.2">
      <c r="A156" s="52" t="s">
        <v>1149</v>
      </c>
      <c r="B156" s="52">
        <v>155</v>
      </c>
      <c r="C156" s="28" t="s">
        <v>603</v>
      </c>
      <c r="D156" s="49" t="s">
        <v>281</v>
      </c>
      <c r="E156" s="49">
        <v>3</v>
      </c>
    </row>
    <row r="157" spans="1:5" x14ac:dyDescent="0.2">
      <c r="A157" s="52" t="s">
        <v>1149</v>
      </c>
      <c r="B157" s="52">
        <v>156</v>
      </c>
      <c r="C157" s="28" t="s">
        <v>605</v>
      </c>
      <c r="D157" s="49" t="s">
        <v>275</v>
      </c>
      <c r="E157" s="49">
        <v>1</v>
      </c>
    </row>
    <row r="158" spans="1:5" x14ac:dyDescent="0.2">
      <c r="A158" s="52" t="s">
        <v>1149</v>
      </c>
      <c r="B158" s="52">
        <v>157</v>
      </c>
      <c r="C158" s="28" t="s">
        <v>607</v>
      </c>
      <c r="D158" s="49" t="s">
        <v>275</v>
      </c>
      <c r="E158" s="49">
        <v>1</v>
      </c>
    </row>
    <row r="159" spans="1:5" x14ac:dyDescent="0.2">
      <c r="A159" s="52" t="s">
        <v>1149</v>
      </c>
      <c r="B159" s="52">
        <v>158</v>
      </c>
      <c r="C159" s="28" t="s">
        <v>609</v>
      </c>
      <c r="D159" s="49" t="s">
        <v>275</v>
      </c>
      <c r="E159" s="49">
        <v>1</v>
      </c>
    </row>
    <row r="160" spans="1:5" x14ac:dyDescent="0.2">
      <c r="A160" s="52" t="s">
        <v>1149</v>
      </c>
      <c r="B160" s="52">
        <v>159</v>
      </c>
      <c r="C160" s="28" t="s">
        <v>611</v>
      </c>
      <c r="D160" s="49" t="s">
        <v>275</v>
      </c>
      <c r="E160" s="49">
        <v>1</v>
      </c>
    </row>
    <row r="161" spans="1:5" x14ac:dyDescent="0.2">
      <c r="A161" s="52" t="s">
        <v>1149</v>
      </c>
      <c r="B161" s="52">
        <v>160</v>
      </c>
      <c r="C161" s="28" t="s">
        <v>613</v>
      </c>
      <c r="D161" s="49" t="s">
        <v>281</v>
      </c>
      <c r="E161" s="49">
        <v>3</v>
      </c>
    </row>
    <row r="162" spans="1:5" x14ac:dyDescent="0.2">
      <c r="A162" s="52" t="s">
        <v>1149</v>
      </c>
      <c r="B162" s="52">
        <v>161</v>
      </c>
      <c r="C162" s="28" t="s">
        <v>615</v>
      </c>
      <c r="D162" s="49" t="s">
        <v>275</v>
      </c>
      <c r="E162" s="49">
        <v>1</v>
      </c>
    </row>
    <row r="163" spans="1:5" x14ac:dyDescent="0.2">
      <c r="A163" s="52" t="s">
        <v>1149</v>
      </c>
      <c r="B163" s="52">
        <v>162</v>
      </c>
      <c r="C163" s="28" t="s">
        <v>617</v>
      </c>
      <c r="D163" s="49" t="s">
        <v>281</v>
      </c>
      <c r="E163" s="49">
        <v>3</v>
      </c>
    </row>
    <row r="164" spans="1:5" x14ac:dyDescent="0.2">
      <c r="A164" s="52" t="s">
        <v>1149</v>
      </c>
      <c r="B164" s="52">
        <v>163</v>
      </c>
      <c r="C164" s="28" t="s">
        <v>619</v>
      </c>
      <c r="D164" s="49" t="s">
        <v>281</v>
      </c>
      <c r="E164" s="49">
        <v>3</v>
      </c>
    </row>
    <row r="165" spans="1:5" x14ac:dyDescent="0.2">
      <c r="A165" s="52" t="s">
        <v>1149</v>
      </c>
      <c r="B165" s="52">
        <v>164</v>
      </c>
      <c r="C165" s="28" t="s">
        <v>621</v>
      </c>
      <c r="D165" s="49" t="s">
        <v>275</v>
      </c>
      <c r="E165" s="49">
        <v>1</v>
      </c>
    </row>
    <row r="166" spans="1:5" x14ac:dyDescent="0.2">
      <c r="A166" s="52" t="s">
        <v>1149</v>
      </c>
      <c r="B166" s="52">
        <v>165</v>
      </c>
      <c r="C166" s="28" t="s">
        <v>623</v>
      </c>
      <c r="D166" s="49" t="s">
        <v>275</v>
      </c>
      <c r="E166" s="49">
        <v>1</v>
      </c>
    </row>
    <row r="167" spans="1:5" x14ac:dyDescent="0.2">
      <c r="A167" s="52" t="s">
        <v>1149</v>
      </c>
      <c r="B167" s="52">
        <v>166</v>
      </c>
      <c r="C167" s="28" t="s">
        <v>625</v>
      </c>
      <c r="D167" s="49" t="s">
        <v>281</v>
      </c>
      <c r="E167" s="49">
        <v>3</v>
      </c>
    </row>
    <row r="168" spans="1:5" x14ac:dyDescent="0.2">
      <c r="A168" s="52" t="s">
        <v>1149</v>
      </c>
      <c r="B168" s="52">
        <v>167</v>
      </c>
      <c r="C168" s="28" t="s">
        <v>628</v>
      </c>
      <c r="D168" s="49" t="s">
        <v>275</v>
      </c>
      <c r="E168" s="49">
        <v>1</v>
      </c>
    </row>
    <row r="169" spans="1:5" x14ac:dyDescent="0.2">
      <c r="A169" s="52" t="s">
        <v>1149</v>
      </c>
      <c r="B169" s="52">
        <v>168</v>
      </c>
      <c r="C169" s="28" t="s">
        <v>630</v>
      </c>
      <c r="D169" s="49" t="s">
        <v>281</v>
      </c>
      <c r="E169" s="49">
        <v>3</v>
      </c>
    </row>
    <row r="170" spans="1:5" x14ac:dyDescent="0.2">
      <c r="A170" s="52" t="s">
        <v>1149</v>
      </c>
      <c r="B170" s="52">
        <v>169</v>
      </c>
      <c r="C170" s="28" t="s">
        <v>632</v>
      </c>
      <c r="D170" s="49" t="s">
        <v>275</v>
      </c>
      <c r="E170" s="49">
        <v>1</v>
      </c>
    </row>
    <row r="171" spans="1:5" x14ac:dyDescent="0.2">
      <c r="A171" s="52" t="s">
        <v>1149</v>
      </c>
      <c r="B171" s="52">
        <v>170</v>
      </c>
      <c r="C171" s="28" t="s">
        <v>634</v>
      </c>
      <c r="D171" s="49" t="s">
        <v>275</v>
      </c>
      <c r="E171" s="49">
        <v>1</v>
      </c>
    </row>
    <row r="172" spans="1:5" x14ac:dyDescent="0.2">
      <c r="A172" s="52" t="s">
        <v>1149</v>
      </c>
      <c r="B172" s="52">
        <v>171</v>
      </c>
      <c r="C172" s="28" t="s">
        <v>636</v>
      </c>
      <c r="D172" s="49" t="s">
        <v>281</v>
      </c>
      <c r="E172" s="49">
        <v>3</v>
      </c>
    </row>
    <row r="173" spans="1:5" x14ac:dyDescent="0.2">
      <c r="A173" s="52" t="s">
        <v>1149</v>
      </c>
      <c r="B173" s="52">
        <v>172</v>
      </c>
      <c r="C173" s="28" t="s">
        <v>638</v>
      </c>
      <c r="D173" s="49" t="s">
        <v>275</v>
      </c>
      <c r="E173" s="49">
        <v>1</v>
      </c>
    </row>
    <row r="174" spans="1:5" x14ac:dyDescent="0.2">
      <c r="A174" s="52" t="s">
        <v>1149</v>
      </c>
      <c r="B174" s="52">
        <v>173</v>
      </c>
      <c r="C174" s="28" t="s">
        <v>640</v>
      </c>
      <c r="D174" s="49" t="s">
        <v>275</v>
      </c>
      <c r="E174" s="49">
        <v>1</v>
      </c>
    </row>
    <row r="175" spans="1:5" x14ac:dyDescent="0.2">
      <c r="A175" s="52" t="s">
        <v>1149</v>
      </c>
      <c r="B175" s="52">
        <v>174</v>
      </c>
      <c r="C175" s="28" t="s">
        <v>642</v>
      </c>
      <c r="D175" s="49" t="s">
        <v>281</v>
      </c>
      <c r="E175" s="49">
        <v>3</v>
      </c>
    </row>
    <row r="176" spans="1:5" x14ac:dyDescent="0.2">
      <c r="A176" s="52" t="s">
        <v>1149</v>
      </c>
      <c r="B176" s="52">
        <v>175</v>
      </c>
      <c r="C176" s="28" t="s">
        <v>644</v>
      </c>
      <c r="D176" s="49" t="s">
        <v>275</v>
      </c>
      <c r="E176" s="49">
        <v>1</v>
      </c>
    </row>
    <row r="177" spans="1:5" x14ac:dyDescent="0.2">
      <c r="A177" s="52" t="s">
        <v>1149</v>
      </c>
      <c r="B177" s="52">
        <v>176</v>
      </c>
      <c r="C177" s="28" t="s">
        <v>646</v>
      </c>
      <c r="D177" s="49" t="s">
        <v>275</v>
      </c>
      <c r="E177" s="49">
        <v>1</v>
      </c>
    </row>
    <row r="178" spans="1:5" x14ac:dyDescent="0.2">
      <c r="A178" s="52" t="s">
        <v>1149</v>
      </c>
      <c r="B178" s="52">
        <v>177</v>
      </c>
      <c r="C178" s="39" t="s">
        <v>648</v>
      </c>
      <c r="D178" s="49" t="s">
        <v>275</v>
      </c>
      <c r="E178" s="49">
        <v>1</v>
      </c>
    </row>
    <row r="179" spans="1:5" x14ac:dyDescent="0.2">
      <c r="A179" s="52" t="s">
        <v>1149</v>
      </c>
      <c r="B179" s="52">
        <v>178</v>
      </c>
      <c r="C179" s="39" t="s">
        <v>650</v>
      </c>
      <c r="D179" s="49" t="s">
        <v>275</v>
      </c>
      <c r="E179" s="49">
        <v>1</v>
      </c>
    </row>
    <row r="180" spans="1:5" x14ac:dyDescent="0.2">
      <c r="A180" s="52" t="s">
        <v>1149</v>
      </c>
      <c r="B180" s="52">
        <v>179</v>
      </c>
      <c r="C180" s="39" t="s">
        <v>652</v>
      </c>
      <c r="D180" s="49" t="s">
        <v>281</v>
      </c>
      <c r="E180" s="49">
        <v>3</v>
      </c>
    </row>
    <row r="181" spans="1:5" x14ac:dyDescent="0.2">
      <c r="A181" s="52" t="s">
        <v>1149</v>
      </c>
      <c r="B181" s="52">
        <v>180</v>
      </c>
      <c r="C181" s="39" t="s">
        <v>654</v>
      </c>
      <c r="D181" s="49" t="s">
        <v>275</v>
      </c>
      <c r="E181" s="49">
        <v>1</v>
      </c>
    </row>
    <row r="182" spans="1:5" x14ac:dyDescent="0.2">
      <c r="A182" s="52" t="s">
        <v>1149</v>
      </c>
      <c r="B182" s="52">
        <v>181</v>
      </c>
      <c r="C182" s="39" t="s">
        <v>656</v>
      </c>
      <c r="D182" s="49" t="s">
        <v>281</v>
      </c>
      <c r="E182" s="49">
        <v>3</v>
      </c>
    </row>
    <row r="183" spans="1:5" x14ac:dyDescent="0.2">
      <c r="A183" s="52" t="s">
        <v>1149</v>
      </c>
      <c r="B183" s="52">
        <v>182</v>
      </c>
      <c r="C183" s="39" t="s">
        <v>657</v>
      </c>
      <c r="D183" s="49" t="s">
        <v>281</v>
      </c>
      <c r="E183" s="49">
        <v>3</v>
      </c>
    </row>
    <row r="184" spans="1:5" x14ac:dyDescent="0.2">
      <c r="A184" s="52" t="s">
        <v>1149</v>
      </c>
      <c r="B184" s="52">
        <v>183</v>
      </c>
      <c r="C184" s="39" t="s">
        <v>658</v>
      </c>
      <c r="D184" s="49" t="s">
        <v>281</v>
      </c>
      <c r="E184" s="49">
        <v>3</v>
      </c>
    </row>
    <row r="185" spans="1:5" x14ac:dyDescent="0.2">
      <c r="A185" s="52" t="s">
        <v>1149</v>
      </c>
      <c r="B185" s="52">
        <v>184</v>
      </c>
      <c r="C185" s="39" t="s">
        <v>659</v>
      </c>
      <c r="D185" s="49" t="s">
        <v>275</v>
      </c>
      <c r="E185" s="49">
        <v>1</v>
      </c>
    </row>
    <row r="186" spans="1:5" x14ac:dyDescent="0.2">
      <c r="A186" s="52" t="s">
        <v>1149</v>
      </c>
      <c r="B186" s="52">
        <v>185</v>
      </c>
      <c r="C186" s="33" t="s">
        <v>660</v>
      </c>
      <c r="D186" s="49" t="s">
        <v>281</v>
      </c>
      <c r="E186" s="49">
        <v>3</v>
      </c>
    </row>
    <row r="187" spans="1:5" x14ac:dyDescent="0.2">
      <c r="A187" s="52" t="s">
        <v>1149</v>
      </c>
      <c r="B187" s="52">
        <v>186</v>
      </c>
      <c r="C187" s="33" t="s">
        <v>661</v>
      </c>
      <c r="D187" s="49" t="s">
        <v>281</v>
      </c>
      <c r="E187" s="49">
        <v>3</v>
      </c>
    </row>
    <row r="188" spans="1:5" x14ac:dyDescent="0.2">
      <c r="A188" s="52" t="s">
        <v>1149</v>
      </c>
      <c r="B188" s="52">
        <v>187</v>
      </c>
      <c r="C188" s="33" t="s">
        <v>662</v>
      </c>
      <c r="D188" s="49" t="s">
        <v>281</v>
      </c>
      <c r="E188" s="49">
        <v>3</v>
      </c>
    </row>
    <row r="189" spans="1:5" x14ac:dyDescent="0.2">
      <c r="A189" s="52" t="s">
        <v>1149</v>
      </c>
      <c r="B189" s="52">
        <v>188</v>
      </c>
      <c r="C189" s="33" t="s">
        <v>663</v>
      </c>
      <c r="D189" s="49" t="s">
        <v>281</v>
      </c>
      <c r="E189" s="49">
        <v>3</v>
      </c>
    </row>
    <row r="190" spans="1:5" x14ac:dyDescent="0.2">
      <c r="A190" s="52" t="s">
        <v>1149</v>
      </c>
      <c r="B190" s="52">
        <v>189</v>
      </c>
      <c r="C190" s="33" t="s">
        <v>664</v>
      </c>
      <c r="D190" s="49" t="s">
        <v>275</v>
      </c>
      <c r="E190" s="49">
        <v>1</v>
      </c>
    </row>
    <row r="191" spans="1:5" x14ac:dyDescent="0.2">
      <c r="A191" s="52" t="s">
        <v>1149</v>
      </c>
      <c r="B191" s="52">
        <v>190</v>
      </c>
      <c r="C191" s="33" t="s">
        <v>665</v>
      </c>
      <c r="D191" s="49" t="s">
        <v>275</v>
      </c>
      <c r="E191" s="49">
        <v>1</v>
      </c>
    </row>
    <row r="192" spans="1:5" x14ac:dyDescent="0.2">
      <c r="A192" s="52" t="s">
        <v>1149</v>
      </c>
      <c r="B192" s="52">
        <v>191</v>
      </c>
      <c r="C192" s="33" t="s">
        <v>666</v>
      </c>
      <c r="D192" s="49" t="s">
        <v>281</v>
      </c>
      <c r="E192" s="49">
        <v>3</v>
      </c>
    </row>
    <row r="193" spans="1:5" x14ac:dyDescent="0.2">
      <c r="A193" s="52" t="s">
        <v>1149</v>
      </c>
      <c r="B193" s="52">
        <v>192</v>
      </c>
      <c r="C193" s="33" t="s">
        <v>667</v>
      </c>
      <c r="D193" s="49" t="s">
        <v>281</v>
      </c>
      <c r="E193" s="49">
        <v>3</v>
      </c>
    </row>
    <row r="194" spans="1:5" x14ac:dyDescent="0.2">
      <c r="A194" s="52" t="s">
        <v>1149</v>
      </c>
      <c r="B194" s="52">
        <v>193</v>
      </c>
      <c r="C194" s="33" t="s">
        <v>668</v>
      </c>
      <c r="D194" s="49" t="s">
        <v>275</v>
      </c>
      <c r="E194" s="49">
        <v>1</v>
      </c>
    </row>
    <row r="195" spans="1:5" x14ac:dyDescent="0.2">
      <c r="A195" s="52" t="s">
        <v>1149</v>
      </c>
      <c r="B195" s="52">
        <v>194</v>
      </c>
      <c r="C195" s="33" t="s">
        <v>669</v>
      </c>
      <c r="D195" s="49" t="s">
        <v>275</v>
      </c>
      <c r="E195" s="49">
        <v>1</v>
      </c>
    </row>
    <row r="196" spans="1:5" x14ac:dyDescent="0.2">
      <c r="A196" s="52" t="s">
        <v>1149</v>
      </c>
      <c r="B196" s="52">
        <v>195</v>
      </c>
      <c r="C196" s="33" t="s">
        <v>670</v>
      </c>
      <c r="D196" s="49" t="s">
        <v>275</v>
      </c>
      <c r="E196" s="49">
        <v>1</v>
      </c>
    </row>
    <row r="197" spans="1:5" x14ac:dyDescent="0.2">
      <c r="A197" s="52" t="s">
        <v>1149</v>
      </c>
      <c r="B197" s="52">
        <v>196</v>
      </c>
      <c r="C197" s="33" t="s">
        <v>671</v>
      </c>
      <c r="D197" s="49" t="s">
        <v>275</v>
      </c>
      <c r="E197" s="49">
        <v>1</v>
      </c>
    </row>
    <row r="198" spans="1:5" x14ac:dyDescent="0.2">
      <c r="A198" s="52" t="s">
        <v>1149</v>
      </c>
      <c r="B198" s="52">
        <v>197</v>
      </c>
      <c r="C198" s="33" t="s">
        <v>672</v>
      </c>
      <c r="D198" s="49" t="s">
        <v>281</v>
      </c>
      <c r="E198" s="49">
        <v>3</v>
      </c>
    </row>
    <row r="199" spans="1:5" x14ac:dyDescent="0.2">
      <c r="A199" s="52" t="s">
        <v>1149</v>
      </c>
      <c r="B199" s="52">
        <v>198</v>
      </c>
      <c r="C199" s="33" t="s">
        <v>673</v>
      </c>
      <c r="D199" s="49" t="s">
        <v>275</v>
      </c>
      <c r="E199" s="49">
        <v>1</v>
      </c>
    </row>
    <row r="200" spans="1:5" x14ac:dyDescent="0.2">
      <c r="A200" s="52" t="s">
        <v>1149</v>
      </c>
      <c r="B200" s="52">
        <v>199</v>
      </c>
      <c r="C200" s="49" t="s">
        <v>1804</v>
      </c>
      <c r="D200" s="49" t="s">
        <v>275</v>
      </c>
      <c r="E200" s="49">
        <v>1</v>
      </c>
    </row>
  </sheetData>
  <conditionalFormatting sqref="C2:C199">
    <cfRule type="duplicateValues" dxfId="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03DF-A69C-4BA6-8C1D-319F1919431A}">
  <dimension ref="A1:C3"/>
  <sheetViews>
    <sheetView workbookViewId="0">
      <selection activeCell="D7" sqref="D7"/>
    </sheetView>
  </sheetViews>
  <sheetFormatPr defaultColWidth="10.76171875" defaultRowHeight="15" x14ac:dyDescent="0.2"/>
  <cols>
    <col min="2" max="2" width="22.328125" customWidth="1"/>
  </cols>
  <sheetData>
    <row r="1" spans="1:3" x14ac:dyDescent="0.2">
      <c r="A1" s="2" t="s">
        <v>1116</v>
      </c>
      <c r="B1" s="2" t="s">
        <v>1132</v>
      </c>
      <c r="C1" s="2" t="s">
        <v>1148</v>
      </c>
    </row>
    <row r="2" spans="1:3" x14ac:dyDescent="0.2">
      <c r="A2" t="s">
        <v>1149</v>
      </c>
      <c r="B2" t="s">
        <v>1622</v>
      </c>
      <c r="C2">
        <v>2</v>
      </c>
    </row>
    <row r="3" spans="1:3" x14ac:dyDescent="0.2">
      <c r="A3" t="s">
        <v>1149</v>
      </c>
      <c r="B3" t="s">
        <v>1623</v>
      </c>
      <c r="C3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AA89-3316-4F02-8FA8-70ADE5C4A4BE}">
  <dimension ref="A1:F254"/>
  <sheetViews>
    <sheetView workbookViewId="0">
      <selection activeCell="K8" sqref="K8"/>
    </sheetView>
  </sheetViews>
  <sheetFormatPr defaultColWidth="10.76171875" defaultRowHeight="15" x14ac:dyDescent="0.2"/>
  <cols>
    <col min="2" max="2" width="10.89453125" style="51"/>
    <col min="3" max="3" width="23.9453125" customWidth="1"/>
    <col min="4" max="4" width="17.890625" customWidth="1"/>
    <col min="6" max="6" width="16.94921875" style="51" customWidth="1"/>
  </cols>
  <sheetData>
    <row r="1" spans="1:6" x14ac:dyDescent="0.2">
      <c r="A1" s="2" t="s">
        <v>1116</v>
      </c>
      <c r="B1" s="2" t="s">
        <v>1587</v>
      </c>
      <c r="C1" s="2" t="s">
        <v>1586</v>
      </c>
      <c r="D1" s="2" t="s">
        <v>1148</v>
      </c>
      <c r="E1" s="2" t="s">
        <v>1573</v>
      </c>
      <c r="F1" s="2" t="s">
        <v>1588</v>
      </c>
    </row>
    <row r="2" spans="1:6" x14ac:dyDescent="0.2">
      <c r="A2" s="49" t="s">
        <v>1149</v>
      </c>
      <c r="B2" s="52">
        <v>1</v>
      </c>
      <c r="C2" s="8" t="s">
        <v>7</v>
      </c>
      <c r="D2" s="7">
        <v>5</v>
      </c>
      <c r="E2" s="56" t="s">
        <v>8</v>
      </c>
      <c r="F2" s="52">
        <v>0</v>
      </c>
    </row>
    <row r="3" spans="1:6" x14ac:dyDescent="0.2">
      <c r="A3" s="49" t="s">
        <v>1149</v>
      </c>
      <c r="B3" s="52">
        <v>2</v>
      </c>
      <c r="C3" s="8" t="s">
        <v>10</v>
      </c>
      <c r="D3" s="7">
        <v>5</v>
      </c>
      <c r="E3" s="56" t="s">
        <v>8</v>
      </c>
      <c r="F3" s="52">
        <v>0</v>
      </c>
    </row>
    <row r="4" spans="1:6" x14ac:dyDescent="0.2">
      <c r="A4" s="49" t="s">
        <v>1149</v>
      </c>
      <c r="B4" s="52">
        <v>3</v>
      </c>
      <c r="C4" s="8" t="s">
        <v>11</v>
      </c>
      <c r="D4" s="7">
        <v>5</v>
      </c>
      <c r="E4" s="56" t="s">
        <v>8</v>
      </c>
      <c r="F4" s="52">
        <v>0</v>
      </c>
    </row>
    <row r="5" spans="1:6" x14ac:dyDescent="0.2">
      <c r="A5" s="49" t="s">
        <v>1149</v>
      </c>
      <c r="B5" s="52">
        <v>4</v>
      </c>
      <c r="C5" s="8" t="s">
        <v>12</v>
      </c>
      <c r="D5" s="7">
        <v>5</v>
      </c>
      <c r="E5" s="56" t="s">
        <v>8</v>
      </c>
      <c r="F5" s="52">
        <v>0</v>
      </c>
    </row>
    <row r="6" spans="1:6" x14ac:dyDescent="0.2">
      <c r="A6" s="49" t="s">
        <v>1149</v>
      </c>
      <c r="B6" s="52">
        <v>5</v>
      </c>
      <c r="C6" s="8" t="s">
        <v>13</v>
      </c>
      <c r="D6" s="7">
        <v>5</v>
      </c>
      <c r="E6" s="56" t="s">
        <v>8</v>
      </c>
      <c r="F6" s="52">
        <v>0</v>
      </c>
    </row>
    <row r="7" spans="1:6" x14ac:dyDescent="0.2">
      <c r="A7" s="49" t="s">
        <v>1149</v>
      </c>
      <c r="B7" s="52">
        <v>6</v>
      </c>
      <c r="C7" s="8" t="s">
        <v>14</v>
      </c>
      <c r="D7" s="7">
        <v>5</v>
      </c>
      <c r="E7" s="56" t="s">
        <v>8</v>
      </c>
      <c r="F7" s="52">
        <v>0</v>
      </c>
    </row>
    <row r="8" spans="1:6" x14ac:dyDescent="0.2">
      <c r="A8" s="49" t="s">
        <v>1149</v>
      </c>
      <c r="B8" s="52">
        <v>7</v>
      </c>
      <c r="C8" s="8" t="s">
        <v>15</v>
      </c>
      <c r="D8" s="7">
        <v>5</v>
      </c>
      <c r="E8" s="56" t="s">
        <v>8</v>
      </c>
      <c r="F8" s="52">
        <v>0</v>
      </c>
    </row>
    <row r="9" spans="1:6" x14ac:dyDescent="0.2">
      <c r="A9" s="49" t="s">
        <v>1149</v>
      </c>
      <c r="B9" s="52">
        <v>8</v>
      </c>
      <c r="C9" s="8" t="s">
        <v>16</v>
      </c>
      <c r="D9" s="7">
        <v>5</v>
      </c>
      <c r="E9" s="56" t="s">
        <v>8</v>
      </c>
      <c r="F9" s="52">
        <v>0</v>
      </c>
    </row>
    <row r="10" spans="1:6" x14ac:dyDescent="0.2">
      <c r="A10" s="49" t="s">
        <v>1149</v>
      </c>
      <c r="B10" s="52">
        <v>9</v>
      </c>
      <c r="C10" s="8" t="s">
        <v>17</v>
      </c>
      <c r="D10" s="7">
        <v>5</v>
      </c>
      <c r="E10" s="56" t="s">
        <v>8</v>
      </c>
      <c r="F10" s="52">
        <v>0</v>
      </c>
    </row>
    <row r="11" spans="1:6" x14ac:dyDescent="0.2">
      <c r="A11" s="49" t="s">
        <v>1149</v>
      </c>
      <c r="B11" s="52">
        <v>10</v>
      </c>
      <c r="C11" s="8" t="s">
        <v>18</v>
      </c>
      <c r="D11" s="7">
        <v>1</v>
      </c>
      <c r="E11" s="56" t="s">
        <v>19</v>
      </c>
      <c r="F11" s="52">
        <v>0</v>
      </c>
    </row>
    <row r="12" spans="1:6" x14ac:dyDescent="0.2">
      <c r="A12" s="49" t="s">
        <v>1149</v>
      </c>
      <c r="B12" s="52">
        <v>11</v>
      </c>
      <c r="C12" s="8" t="s">
        <v>1576</v>
      </c>
      <c r="D12" s="7">
        <v>3</v>
      </c>
      <c r="E12" s="56" t="s">
        <v>20</v>
      </c>
      <c r="F12" s="52">
        <v>0</v>
      </c>
    </row>
    <row r="13" spans="1:6" x14ac:dyDescent="0.2">
      <c r="A13" s="49" t="s">
        <v>1149</v>
      </c>
      <c r="B13" s="52">
        <v>12</v>
      </c>
      <c r="C13" s="8" t="s">
        <v>21</v>
      </c>
      <c r="D13" s="7">
        <v>5</v>
      </c>
      <c r="E13" s="56" t="s">
        <v>8</v>
      </c>
      <c r="F13" s="52">
        <v>0</v>
      </c>
    </row>
    <row r="14" spans="1:6" x14ac:dyDescent="0.2">
      <c r="A14" s="49" t="s">
        <v>1149</v>
      </c>
      <c r="B14" s="52">
        <v>13</v>
      </c>
      <c r="C14" s="8" t="s">
        <v>22</v>
      </c>
      <c r="D14" s="7">
        <v>3</v>
      </c>
      <c r="E14" s="56" t="s">
        <v>20</v>
      </c>
      <c r="F14" s="52">
        <v>0</v>
      </c>
    </row>
    <row r="15" spans="1:6" x14ac:dyDescent="0.2">
      <c r="A15" s="49" t="s">
        <v>1149</v>
      </c>
      <c r="B15" s="52">
        <v>14</v>
      </c>
      <c r="C15" s="8" t="s">
        <v>23</v>
      </c>
      <c r="D15" s="7">
        <v>1</v>
      </c>
      <c r="E15" s="56" t="s">
        <v>19</v>
      </c>
      <c r="F15" s="52">
        <v>0</v>
      </c>
    </row>
    <row r="16" spans="1:6" x14ac:dyDescent="0.2">
      <c r="A16" s="49" t="s">
        <v>1149</v>
      </c>
      <c r="B16" s="52">
        <v>15</v>
      </c>
      <c r="C16" s="8" t="s">
        <v>24</v>
      </c>
      <c r="D16" s="7">
        <v>1</v>
      </c>
      <c r="E16" s="56" t="s">
        <v>19</v>
      </c>
      <c r="F16" s="52">
        <v>0</v>
      </c>
    </row>
    <row r="17" spans="1:6" x14ac:dyDescent="0.2">
      <c r="A17" s="49" t="s">
        <v>1149</v>
      </c>
      <c r="B17" s="52">
        <v>16</v>
      </c>
      <c r="C17" s="8" t="s">
        <v>25</v>
      </c>
      <c r="D17" s="7">
        <v>5</v>
      </c>
      <c r="E17" s="56" t="s">
        <v>8</v>
      </c>
      <c r="F17" s="52">
        <v>0</v>
      </c>
    </row>
    <row r="18" spans="1:6" x14ac:dyDescent="0.2">
      <c r="A18" s="49" t="s">
        <v>1149</v>
      </c>
      <c r="B18" s="52">
        <v>17</v>
      </c>
      <c r="C18" s="8" t="s">
        <v>26</v>
      </c>
      <c r="D18" s="7">
        <v>5</v>
      </c>
      <c r="E18" s="56" t="s">
        <v>8</v>
      </c>
      <c r="F18" s="52">
        <v>0</v>
      </c>
    </row>
    <row r="19" spans="1:6" x14ac:dyDescent="0.2">
      <c r="A19" s="49" t="s">
        <v>1149</v>
      </c>
      <c r="B19" s="52">
        <v>18</v>
      </c>
      <c r="C19" s="8" t="s">
        <v>27</v>
      </c>
      <c r="D19" s="7">
        <v>5</v>
      </c>
      <c r="E19" s="56" t="s">
        <v>8</v>
      </c>
      <c r="F19" s="52">
        <v>0</v>
      </c>
    </row>
    <row r="20" spans="1:6" x14ac:dyDescent="0.2">
      <c r="A20" s="49" t="s">
        <v>1149</v>
      </c>
      <c r="B20" s="52">
        <v>19</v>
      </c>
      <c r="C20" s="8" t="s">
        <v>28</v>
      </c>
      <c r="D20" s="7">
        <v>5</v>
      </c>
      <c r="E20" s="56" t="s">
        <v>8</v>
      </c>
      <c r="F20" s="52">
        <v>0</v>
      </c>
    </row>
    <row r="21" spans="1:6" x14ac:dyDescent="0.2">
      <c r="A21" s="49" t="s">
        <v>1149</v>
      </c>
      <c r="B21" s="52">
        <v>20</v>
      </c>
      <c r="C21" s="8" t="s">
        <v>29</v>
      </c>
      <c r="D21" s="7">
        <v>5</v>
      </c>
      <c r="E21" s="56" t="s">
        <v>8</v>
      </c>
      <c r="F21" s="52">
        <v>0</v>
      </c>
    </row>
    <row r="22" spans="1:6" x14ac:dyDescent="0.2">
      <c r="A22" s="49" t="s">
        <v>1149</v>
      </c>
      <c r="B22" s="52">
        <v>21</v>
      </c>
      <c r="C22" s="8" t="s">
        <v>30</v>
      </c>
      <c r="D22" s="7">
        <v>5</v>
      </c>
      <c r="E22" s="56" t="s">
        <v>31</v>
      </c>
      <c r="F22" s="52">
        <v>0</v>
      </c>
    </row>
    <row r="23" spans="1:6" x14ac:dyDescent="0.2">
      <c r="A23" s="49" t="s">
        <v>1149</v>
      </c>
      <c r="B23" s="52">
        <v>22</v>
      </c>
      <c r="C23" s="8" t="s">
        <v>1577</v>
      </c>
      <c r="D23" s="7">
        <v>1</v>
      </c>
      <c r="E23" s="56" t="s">
        <v>19</v>
      </c>
      <c r="F23" s="52">
        <v>0</v>
      </c>
    </row>
    <row r="24" spans="1:6" x14ac:dyDescent="0.2">
      <c r="A24" s="49" t="s">
        <v>1149</v>
      </c>
      <c r="B24" s="52">
        <v>23</v>
      </c>
      <c r="C24" s="8" t="s">
        <v>32</v>
      </c>
      <c r="D24" s="7">
        <v>5</v>
      </c>
      <c r="E24" s="56" t="s">
        <v>8</v>
      </c>
      <c r="F24" s="52">
        <v>0</v>
      </c>
    </row>
    <row r="25" spans="1:6" x14ac:dyDescent="0.2">
      <c r="A25" s="49" t="s">
        <v>1149</v>
      </c>
      <c r="B25" s="52">
        <v>24</v>
      </c>
      <c r="C25" s="8" t="s">
        <v>33</v>
      </c>
      <c r="D25" s="7">
        <v>5</v>
      </c>
      <c r="E25" s="56" t="s">
        <v>8</v>
      </c>
      <c r="F25" s="52">
        <v>0</v>
      </c>
    </row>
    <row r="26" spans="1:6" x14ac:dyDescent="0.2">
      <c r="A26" s="49" t="s">
        <v>1149</v>
      </c>
      <c r="B26" s="52">
        <v>25</v>
      </c>
      <c r="C26" s="8" t="s">
        <v>34</v>
      </c>
      <c r="D26" s="7">
        <v>5</v>
      </c>
      <c r="E26" s="56" t="s">
        <v>8</v>
      </c>
      <c r="F26" s="52">
        <v>0</v>
      </c>
    </row>
    <row r="27" spans="1:6" x14ac:dyDescent="0.2">
      <c r="A27" s="49" t="s">
        <v>1149</v>
      </c>
      <c r="B27" s="52">
        <v>26</v>
      </c>
      <c r="C27" s="8" t="s">
        <v>35</v>
      </c>
      <c r="D27" s="7">
        <v>3</v>
      </c>
      <c r="E27" s="56" t="s">
        <v>20</v>
      </c>
      <c r="F27" s="52">
        <v>0</v>
      </c>
    </row>
    <row r="28" spans="1:6" x14ac:dyDescent="0.2">
      <c r="A28" s="49" t="s">
        <v>1149</v>
      </c>
      <c r="B28" s="52">
        <v>27</v>
      </c>
      <c r="C28" s="8" t="s">
        <v>1580</v>
      </c>
      <c r="D28" s="7">
        <v>5</v>
      </c>
      <c r="E28" s="56" t="s">
        <v>8</v>
      </c>
      <c r="F28" s="52">
        <v>0</v>
      </c>
    </row>
    <row r="29" spans="1:6" x14ac:dyDescent="0.2">
      <c r="A29" s="49" t="s">
        <v>1149</v>
      </c>
      <c r="B29" s="52">
        <v>28</v>
      </c>
      <c r="C29" s="8" t="s">
        <v>36</v>
      </c>
      <c r="D29" s="7">
        <v>5</v>
      </c>
      <c r="E29" s="56" t="s">
        <v>8</v>
      </c>
      <c r="F29" s="52">
        <v>0</v>
      </c>
    </row>
    <row r="30" spans="1:6" x14ac:dyDescent="0.2">
      <c r="A30" s="49" t="s">
        <v>1149</v>
      </c>
      <c r="B30" s="52">
        <v>29</v>
      </c>
      <c r="C30" s="8" t="s">
        <v>37</v>
      </c>
      <c r="D30" s="7">
        <v>5</v>
      </c>
      <c r="E30" s="56" t="s">
        <v>8</v>
      </c>
      <c r="F30" s="52">
        <v>0</v>
      </c>
    </row>
    <row r="31" spans="1:6" x14ac:dyDescent="0.2">
      <c r="A31" s="49" t="s">
        <v>1149</v>
      </c>
      <c r="B31" s="52">
        <v>30</v>
      </c>
      <c r="C31" s="8" t="s">
        <v>38</v>
      </c>
      <c r="D31" s="7">
        <v>5</v>
      </c>
      <c r="E31" s="56" t="s">
        <v>8</v>
      </c>
      <c r="F31" s="52">
        <v>0</v>
      </c>
    </row>
    <row r="32" spans="1:6" x14ac:dyDescent="0.2">
      <c r="A32" s="49" t="s">
        <v>1149</v>
      </c>
      <c r="B32" s="52">
        <v>31</v>
      </c>
      <c r="C32" s="8" t="s">
        <v>39</v>
      </c>
      <c r="D32" s="7">
        <v>5</v>
      </c>
      <c r="E32" s="56" t="s">
        <v>8</v>
      </c>
      <c r="F32" s="52">
        <v>0</v>
      </c>
    </row>
    <row r="33" spans="1:6" x14ac:dyDescent="0.2">
      <c r="A33" s="49" t="s">
        <v>1149</v>
      </c>
      <c r="B33" s="52">
        <v>32</v>
      </c>
      <c r="C33" s="8" t="s">
        <v>1579</v>
      </c>
      <c r="D33" s="7">
        <v>3</v>
      </c>
      <c r="E33" s="56" t="s">
        <v>20</v>
      </c>
      <c r="F33" s="52">
        <v>0</v>
      </c>
    </row>
    <row r="34" spans="1:6" x14ac:dyDescent="0.2">
      <c r="A34" s="49" t="s">
        <v>1149</v>
      </c>
      <c r="B34" s="52">
        <v>33</v>
      </c>
      <c r="C34" s="8" t="s">
        <v>40</v>
      </c>
      <c r="D34" s="7">
        <v>5</v>
      </c>
      <c r="E34" s="56" t="s">
        <v>8</v>
      </c>
      <c r="F34" s="52">
        <v>0</v>
      </c>
    </row>
    <row r="35" spans="1:6" x14ac:dyDescent="0.2">
      <c r="A35" s="49" t="s">
        <v>1149</v>
      </c>
      <c r="B35" s="52">
        <v>34</v>
      </c>
      <c r="C35" s="8" t="s">
        <v>41</v>
      </c>
      <c r="D35" s="7">
        <v>3</v>
      </c>
      <c r="E35" s="56" t="s">
        <v>20</v>
      </c>
      <c r="F35" s="52">
        <v>0</v>
      </c>
    </row>
    <row r="36" spans="1:6" x14ac:dyDescent="0.2">
      <c r="A36" s="49" t="s">
        <v>1149</v>
      </c>
      <c r="B36" s="52">
        <v>35</v>
      </c>
      <c r="C36" s="8" t="s">
        <v>1578</v>
      </c>
      <c r="D36" s="7">
        <v>5</v>
      </c>
      <c r="E36" s="56" t="s">
        <v>8</v>
      </c>
      <c r="F36" s="52">
        <v>0</v>
      </c>
    </row>
    <row r="37" spans="1:6" x14ac:dyDescent="0.2">
      <c r="A37" s="49" t="s">
        <v>1149</v>
      </c>
      <c r="B37" s="52">
        <v>36</v>
      </c>
      <c r="C37" s="8" t="s">
        <v>42</v>
      </c>
      <c r="D37" s="7">
        <v>5</v>
      </c>
      <c r="E37" s="56" t="s">
        <v>8</v>
      </c>
      <c r="F37" s="52">
        <v>0</v>
      </c>
    </row>
    <row r="38" spans="1:6" x14ac:dyDescent="0.2">
      <c r="A38" s="49" t="s">
        <v>1149</v>
      </c>
      <c r="B38" s="52">
        <v>37</v>
      </c>
      <c r="C38" s="8" t="s">
        <v>43</v>
      </c>
      <c r="D38" s="7">
        <v>5</v>
      </c>
      <c r="E38" s="56" t="s">
        <v>8</v>
      </c>
      <c r="F38" s="52">
        <v>0</v>
      </c>
    </row>
    <row r="39" spans="1:6" x14ac:dyDescent="0.2">
      <c r="A39" s="49" t="s">
        <v>1149</v>
      </c>
      <c r="B39" s="52">
        <v>38</v>
      </c>
      <c r="C39" s="8" t="s">
        <v>44</v>
      </c>
      <c r="D39" s="7">
        <v>5</v>
      </c>
      <c r="E39" s="56" t="s">
        <v>8</v>
      </c>
      <c r="F39" s="52">
        <v>0</v>
      </c>
    </row>
    <row r="40" spans="1:6" x14ac:dyDescent="0.2">
      <c r="A40" s="49" t="s">
        <v>1149</v>
      </c>
      <c r="B40" s="52">
        <v>39</v>
      </c>
      <c r="C40" s="8" t="s">
        <v>45</v>
      </c>
      <c r="D40" s="7">
        <v>5</v>
      </c>
      <c r="E40" s="56" t="s">
        <v>8</v>
      </c>
      <c r="F40" s="52">
        <v>0</v>
      </c>
    </row>
    <row r="41" spans="1:6" x14ac:dyDescent="0.2">
      <c r="A41" s="49" t="s">
        <v>1149</v>
      </c>
      <c r="B41" s="52">
        <v>40</v>
      </c>
      <c r="C41" s="8" t="s">
        <v>46</v>
      </c>
      <c r="D41" s="7">
        <v>5</v>
      </c>
      <c r="E41" s="56" t="s">
        <v>8</v>
      </c>
      <c r="F41" s="52">
        <v>0</v>
      </c>
    </row>
    <row r="42" spans="1:6" x14ac:dyDescent="0.2">
      <c r="A42" s="49" t="s">
        <v>1149</v>
      </c>
      <c r="B42" s="52">
        <v>41</v>
      </c>
      <c r="C42" s="8" t="s">
        <v>1581</v>
      </c>
      <c r="D42" s="7">
        <v>1</v>
      </c>
      <c r="E42" s="56" t="s">
        <v>19</v>
      </c>
      <c r="F42" s="52">
        <v>0</v>
      </c>
    </row>
    <row r="43" spans="1:6" x14ac:dyDescent="0.2">
      <c r="A43" s="49" t="s">
        <v>1149</v>
      </c>
      <c r="B43" s="52">
        <v>42</v>
      </c>
      <c r="C43" s="8" t="s">
        <v>47</v>
      </c>
      <c r="D43" s="7">
        <v>5</v>
      </c>
      <c r="E43" s="56" t="s">
        <v>8</v>
      </c>
      <c r="F43" s="52">
        <v>0</v>
      </c>
    </row>
    <row r="44" spans="1:6" x14ac:dyDescent="0.2">
      <c r="A44" s="49" t="s">
        <v>1149</v>
      </c>
      <c r="B44" s="52">
        <v>43</v>
      </c>
      <c r="C44" s="8" t="s">
        <v>48</v>
      </c>
      <c r="D44" s="7">
        <v>5</v>
      </c>
      <c r="E44" s="56" t="s">
        <v>8</v>
      </c>
      <c r="F44" s="52">
        <v>0</v>
      </c>
    </row>
    <row r="45" spans="1:6" x14ac:dyDescent="0.2">
      <c r="A45" s="49" t="s">
        <v>1149</v>
      </c>
      <c r="B45" s="52">
        <v>44</v>
      </c>
      <c r="C45" s="8" t="s">
        <v>49</v>
      </c>
      <c r="D45" s="7">
        <v>5</v>
      </c>
      <c r="E45" s="56" t="s">
        <v>8</v>
      </c>
      <c r="F45" s="52">
        <v>0</v>
      </c>
    </row>
    <row r="46" spans="1:6" x14ac:dyDescent="0.2">
      <c r="A46" s="49" t="s">
        <v>1149</v>
      </c>
      <c r="B46" s="52">
        <v>45</v>
      </c>
      <c r="C46" s="8" t="s">
        <v>50</v>
      </c>
      <c r="D46" s="7">
        <v>1</v>
      </c>
      <c r="E46" s="56" t="s">
        <v>19</v>
      </c>
      <c r="F46" s="52">
        <v>0</v>
      </c>
    </row>
    <row r="47" spans="1:6" x14ac:dyDescent="0.2">
      <c r="A47" s="49" t="s">
        <v>1149</v>
      </c>
      <c r="B47" s="52">
        <v>46</v>
      </c>
      <c r="C47" s="8" t="s">
        <v>51</v>
      </c>
      <c r="D47" s="7">
        <v>5</v>
      </c>
      <c r="E47" s="56" t="s">
        <v>8</v>
      </c>
      <c r="F47" s="52">
        <v>0</v>
      </c>
    </row>
    <row r="48" spans="1:6" x14ac:dyDescent="0.2">
      <c r="A48" s="49" t="s">
        <v>1149</v>
      </c>
      <c r="B48" s="52">
        <v>47</v>
      </c>
      <c r="C48" s="8" t="s">
        <v>52</v>
      </c>
      <c r="D48" s="7">
        <v>5</v>
      </c>
      <c r="E48" s="56" t="s">
        <v>8</v>
      </c>
      <c r="F48" s="52">
        <v>0</v>
      </c>
    </row>
    <row r="49" spans="1:6" x14ac:dyDescent="0.2">
      <c r="A49" s="49" t="s">
        <v>1149</v>
      </c>
      <c r="B49" s="52">
        <v>48</v>
      </c>
      <c r="C49" s="8" t="s">
        <v>53</v>
      </c>
      <c r="D49" s="7">
        <v>5</v>
      </c>
      <c r="E49" s="56" t="s">
        <v>8</v>
      </c>
      <c r="F49" s="52">
        <v>0</v>
      </c>
    </row>
    <row r="50" spans="1:6" x14ac:dyDescent="0.2">
      <c r="A50" s="49" t="s">
        <v>1149</v>
      </c>
      <c r="B50" s="52">
        <v>49</v>
      </c>
      <c r="C50" s="8" t="s">
        <v>54</v>
      </c>
      <c r="D50" s="7">
        <v>5</v>
      </c>
      <c r="E50" s="56" t="s">
        <v>8</v>
      </c>
      <c r="F50" s="52">
        <v>0</v>
      </c>
    </row>
    <row r="51" spans="1:6" x14ac:dyDescent="0.2">
      <c r="A51" s="49" t="s">
        <v>1149</v>
      </c>
      <c r="B51" s="52">
        <v>50</v>
      </c>
      <c r="C51" s="8" t="s">
        <v>55</v>
      </c>
      <c r="D51" s="7">
        <v>5</v>
      </c>
      <c r="E51" s="56" t="s">
        <v>8</v>
      </c>
      <c r="F51" s="52">
        <v>0</v>
      </c>
    </row>
    <row r="52" spans="1:6" x14ac:dyDescent="0.2">
      <c r="A52" s="49" t="s">
        <v>1149</v>
      </c>
      <c r="B52" s="52">
        <v>51</v>
      </c>
      <c r="C52" s="8" t="s">
        <v>56</v>
      </c>
      <c r="D52" s="7">
        <v>5</v>
      </c>
      <c r="E52" s="56" t="s">
        <v>8</v>
      </c>
      <c r="F52" s="52">
        <v>0</v>
      </c>
    </row>
    <row r="53" spans="1:6" x14ac:dyDescent="0.2">
      <c r="A53" s="49" t="s">
        <v>1149</v>
      </c>
      <c r="B53" s="52">
        <v>52</v>
      </c>
      <c r="C53" s="8" t="s">
        <v>57</v>
      </c>
      <c r="D53" s="7">
        <v>5</v>
      </c>
      <c r="E53" s="56" t="s">
        <v>8</v>
      </c>
      <c r="F53" s="52">
        <v>0</v>
      </c>
    </row>
    <row r="54" spans="1:6" x14ac:dyDescent="0.2">
      <c r="A54" s="49" t="s">
        <v>1149</v>
      </c>
      <c r="B54" s="52">
        <v>53</v>
      </c>
      <c r="C54" s="8" t="s">
        <v>58</v>
      </c>
      <c r="D54" s="7">
        <v>5</v>
      </c>
      <c r="E54" s="56" t="s">
        <v>8</v>
      </c>
      <c r="F54" s="52">
        <v>0</v>
      </c>
    </row>
    <row r="55" spans="1:6" x14ac:dyDescent="0.2">
      <c r="A55" s="49" t="s">
        <v>1149</v>
      </c>
      <c r="B55" s="52">
        <v>54</v>
      </c>
      <c r="C55" s="8" t="s">
        <v>59</v>
      </c>
      <c r="D55" s="7">
        <v>5</v>
      </c>
      <c r="E55" s="56" t="s">
        <v>8</v>
      </c>
      <c r="F55" s="52">
        <v>0</v>
      </c>
    </row>
    <row r="56" spans="1:6" x14ac:dyDescent="0.2">
      <c r="A56" s="49" t="s">
        <v>1149</v>
      </c>
      <c r="B56" s="52">
        <v>55</v>
      </c>
      <c r="C56" s="8" t="s">
        <v>60</v>
      </c>
      <c r="D56" s="7">
        <v>5</v>
      </c>
      <c r="E56" s="56" t="s">
        <v>8</v>
      </c>
      <c r="F56" s="52">
        <v>0</v>
      </c>
    </row>
    <row r="57" spans="1:6" x14ac:dyDescent="0.2">
      <c r="A57" s="49" t="s">
        <v>1149</v>
      </c>
      <c r="B57" s="52">
        <v>56</v>
      </c>
      <c r="C57" s="8" t="s">
        <v>61</v>
      </c>
      <c r="D57" s="7">
        <v>1</v>
      </c>
      <c r="E57" s="56" t="s">
        <v>19</v>
      </c>
      <c r="F57" s="52">
        <v>0</v>
      </c>
    </row>
    <row r="58" spans="1:6" x14ac:dyDescent="0.2">
      <c r="A58" s="49" t="s">
        <v>1149</v>
      </c>
      <c r="B58" s="52">
        <v>57</v>
      </c>
      <c r="C58" s="8" t="s">
        <v>62</v>
      </c>
      <c r="D58" s="7">
        <v>5</v>
      </c>
      <c r="E58" s="56" t="s">
        <v>31</v>
      </c>
      <c r="F58" s="52">
        <v>0</v>
      </c>
    </row>
    <row r="59" spans="1:6" x14ac:dyDescent="0.2">
      <c r="A59" s="49" t="s">
        <v>1149</v>
      </c>
      <c r="B59" s="52">
        <v>58</v>
      </c>
      <c r="C59" s="8" t="s">
        <v>63</v>
      </c>
      <c r="D59" s="7">
        <v>5</v>
      </c>
      <c r="E59" s="56" t="s">
        <v>8</v>
      </c>
      <c r="F59" s="52">
        <v>0</v>
      </c>
    </row>
    <row r="60" spans="1:6" x14ac:dyDescent="0.2">
      <c r="A60" s="49" t="s">
        <v>1149</v>
      </c>
      <c r="B60" s="52">
        <v>59</v>
      </c>
      <c r="C60" s="8" t="s">
        <v>64</v>
      </c>
      <c r="D60" s="7">
        <v>5</v>
      </c>
      <c r="E60" s="56" t="s">
        <v>8</v>
      </c>
      <c r="F60" s="52">
        <v>0</v>
      </c>
    </row>
    <row r="61" spans="1:6" x14ac:dyDescent="0.2">
      <c r="A61" s="49" t="s">
        <v>1149</v>
      </c>
      <c r="B61" s="52">
        <v>60</v>
      </c>
      <c r="C61" s="8" t="s">
        <v>65</v>
      </c>
      <c r="D61" s="7">
        <v>1</v>
      </c>
      <c r="E61" s="56" t="s">
        <v>19</v>
      </c>
      <c r="F61" s="52">
        <v>0</v>
      </c>
    </row>
    <row r="62" spans="1:6" x14ac:dyDescent="0.2">
      <c r="A62" s="49" t="s">
        <v>1149</v>
      </c>
      <c r="B62" s="52">
        <v>61</v>
      </c>
      <c r="C62" s="8" t="s">
        <v>66</v>
      </c>
      <c r="D62" s="7">
        <v>1</v>
      </c>
      <c r="E62" s="56" t="s">
        <v>19</v>
      </c>
      <c r="F62" s="52">
        <v>0</v>
      </c>
    </row>
    <row r="63" spans="1:6" x14ac:dyDescent="0.2">
      <c r="A63" s="49" t="s">
        <v>1149</v>
      </c>
      <c r="B63" s="52">
        <v>62</v>
      </c>
      <c r="C63" s="8" t="s">
        <v>67</v>
      </c>
      <c r="D63" s="7">
        <v>5</v>
      </c>
      <c r="E63" s="56" t="s">
        <v>8</v>
      </c>
      <c r="F63" s="52">
        <v>0</v>
      </c>
    </row>
    <row r="64" spans="1:6" x14ac:dyDescent="0.2">
      <c r="A64" s="49" t="s">
        <v>1149</v>
      </c>
      <c r="B64" s="52">
        <v>63</v>
      </c>
      <c r="C64" s="8" t="s">
        <v>68</v>
      </c>
      <c r="D64" s="7">
        <v>5</v>
      </c>
      <c r="E64" s="56" t="s">
        <v>8</v>
      </c>
      <c r="F64" s="52">
        <v>0</v>
      </c>
    </row>
    <row r="65" spans="1:6" x14ac:dyDescent="0.2">
      <c r="A65" s="49" t="s">
        <v>1149</v>
      </c>
      <c r="B65" s="52">
        <v>64</v>
      </c>
      <c r="C65" s="8" t="s">
        <v>69</v>
      </c>
      <c r="D65" s="7">
        <v>5</v>
      </c>
      <c r="E65" s="56" t="s">
        <v>8</v>
      </c>
      <c r="F65" s="52">
        <v>0</v>
      </c>
    </row>
    <row r="66" spans="1:6" x14ac:dyDescent="0.2">
      <c r="A66" s="49" t="s">
        <v>1149</v>
      </c>
      <c r="B66" s="52">
        <v>65</v>
      </c>
      <c r="C66" s="8" t="s">
        <v>70</v>
      </c>
      <c r="D66" s="7">
        <v>5</v>
      </c>
      <c r="E66" s="56" t="s">
        <v>8</v>
      </c>
      <c r="F66" s="52">
        <v>0</v>
      </c>
    </row>
    <row r="67" spans="1:6" x14ac:dyDescent="0.2">
      <c r="A67" s="49" t="s">
        <v>1149</v>
      </c>
      <c r="B67" s="52">
        <v>66</v>
      </c>
      <c r="C67" s="8" t="s">
        <v>71</v>
      </c>
      <c r="D67" s="7">
        <v>5</v>
      </c>
      <c r="E67" s="56" t="s">
        <v>8</v>
      </c>
      <c r="F67" s="52">
        <v>0</v>
      </c>
    </row>
    <row r="68" spans="1:6" x14ac:dyDescent="0.2">
      <c r="A68" s="49" t="s">
        <v>1149</v>
      </c>
      <c r="B68" s="52">
        <v>67</v>
      </c>
      <c r="C68" s="8" t="s">
        <v>72</v>
      </c>
      <c r="D68" s="7">
        <v>5</v>
      </c>
      <c r="E68" s="56" t="s">
        <v>8</v>
      </c>
      <c r="F68" s="52">
        <v>0</v>
      </c>
    </row>
    <row r="69" spans="1:6" x14ac:dyDescent="0.2">
      <c r="A69" s="49" t="s">
        <v>1149</v>
      </c>
      <c r="B69" s="52">
        <v>68</v>
      </c>
      <c r="C69" s="8" t="s">
        <v>73</v>
      </c>
      <c r="D69" s="7">
        <v>5</v>
      </c>
      <c r="E69" s="56" t="s">
        <v>8</v>
      </c>
      <c r="F69" s="52">
        <v>0</v>
      </c>
    </row>
    <row r="70" spans="1:6" x14ac:dyDescent="0.2">
      <c r="A70" s="49" t="s">
        <v>1149</v>
      </c>
      <c r="B70" s="52">
        <v>69</v>
      </c>
      <c r="C70" s="8" t="s">
        <v>74</v>
      </c>
      <c r="D70" s="7">
        <v>5</v>
      </c>
      <c r="E70" s="56" t="s">
        <v>8</v>
      </c>
      <c r="F70" s="52">
        <v>0</v>
      </c>
    </row>
    <row r="71" spans="1:6" x14ac:dyDescent="0.2">
      <c r="A71" s="49" t="s">
        <v>1149</v>
      </c>
      <c r="B71" s="52">
        <v>70</v>
      </c>
      <c r="C71" s="8" t="s">
        <v>75</v>
      </c>
      <c r="D71" s="7">
        <v>1</v>
      </c>
      <c r="E71" s="56" t="s">
        <v>19</v>
      </c>
      <c r="F71" s="52">
        <v>0</v>
      </c>
    </row>
    <row r="72" spans="1:6" x14ac:dyDescent="0.2">
      <c r="A72" s="49" t="s">
        <v>1149</v>
      </c>
      <c r="B72" s="52">
        <v>71</v>
      </c>
      <c r="C72" s="8" t="s">
        <v>76</v>
      </c>
      <c r="D72" s="7">
        <v>5</v>
      </c>
      <c r="E72" s="56" t="s">
        <v>8</v>
      </c>
      <c r="F72" s="52">
        <v>0</v>
      </c>
    </row>
    <row r="73" spans="1:6" x14ac:dyDescent="0.2">
      <c r="A73" s="49" t="s">
        <v>1149</v>
      </c>
      <c r="B73" s="52">
        <v>72</v>
      </c>
      <c r="C73" s="8" t="s">
        <v>77</v>
      </c>
      <c r="D73" s="7">
        <v>5</v>
      </c>
      <c r="E73" s="56" t="s">
        <v>8</v>
      </c>
      <c r="F73" s="52">
        <v>0</v>
      </c>
    </row>
    <row r="74" spans="1:6" x14ac:dyDescent="0.2">
      <c r="A74" s="49" t="s">
        <v>1149</v>
      </c>
      <c r="B74" s="52">
        <v>73</v>
      </c>
      <c r="C74" s="8" t="s">
        <v>78</v>
      </c>
      <c r="D74" s="7">
        <v>5</v>
      </c>
      <c r="E74" s="56" t="s">
        <v>8</v>
      </c>
      <c r="F74" s="52">
        <v>0</v>
      </c>
    </row>
    <row r="75" spans="1:6" x14ac:dyDescent="0.2">
      <c r="A75" s="49" t="s">
        <v>1149</v>
      </c>
      <c r="B75" s="52">
        <v>74</v>
      </c>
      <c r="C75" s="8" t="s">
        <v>79</v>
      </c>
      <c r="D75" s="7">
        <v>5</v>
      </c>
      <c r="E75" s="56" t="s">
        <v>8</v>
      </c>
      <c r="F75" s="52">
        <v>0</v>
      </c>
    </row>
    <row r="76" spans="1:6" x14ac:dyDescent="0.2">
      <c r="A76" s="49" t="s">
        <v>1149</v>
      </c>
      <c r="B76" s="52">
        <v>75</v>
      </c>
      <c r="C76" s="8" t="s">
        <v>80</v>
      </c>
      <c r="D76" s="7">
        <v>1</v>
      </c>
      <c r="E76" s="56" t="s">
        <v>19</v>
      </c>
      <c r="F76" s="52">
        <v>0</v>
      </c>
    </row>
    <row r="77" spans="1:6" x14ac:dyDescent="0.2">
      <c r="A77" s="49" t="s">
        <v>1149</v>
      </c>
      <c r="B77" s="52">
        <v>76</v>
      </c>
      <c r="C77" s="8" t="s">
        <v>81</v>
      </c>
      <c r="D77" s="7">
        <v>1</v>
      </c>
      <c r="E77" s="56" t="s">
        <v>19</v>
      </c>
      <c r="F77" s="52">
        <v>0</v>
      </c>
    </row>
    <row r="78" spans="1:6" x14ac:dyDescent="0.2">
      <c r="A78" s="49" t="s">
        <v>1149</v>
      </c>
      <c r="B78" s="52">
        <v>77</v>
      </c>
      <c r="C78" s="8" t="s">
        <v>82</v>
      </c>
      <c r="D78" s="7">
        <v>5</v>
      </c>
      <c r="E78" s="56" t="s">
        <v>8</v>
      </c>
      <c r="F78" s="52">
        <v>0</v>
      </c>
    </row>
    <row r="79" spans="1:6" x14ac:dyDescent="0.2">
      <c r="A79" s="49" t="s">
        <v>1149</v>
      </c>
      <c r="B79" s="52">
        <v>78</v>
      </c>
      <c r="C79" s="8" t="s">
        <v>83</v>
      </c>
      <c r="D79" s="7">
        <v>5</v>
      </c>
      <c r="E79" s="56" t="s">
        <v>8</v>
      </c>
      <c r="F79" s="52">
        <v>0</v>
      </c>
    </row>
    <row r="80" spans="1:6" x14ac:dyDescent="0.2">
      <c r="A80" s="49" t="s">
        <v>1149</v>
      </c>
      <c r="B80" s="52">
        <v>79</v>
      </c>
      <c r="C80" s="8" t="s">
        <v>84</v>
      </c>
      <c r="D80" s="7">
        <v>5</v>
      </c>
      <c r="E80" s="56" t="s">
        <v>8</v>
      </c>
      <c r="F80" s="52">
        <v>0</v>
      </c>
    </row>
    <row r="81" spans="1:6" x14ac:dyDescent="0.2">
      <c r="A81" s="49" t="s">
        <v>1149</v>
      </c>
      <c r="B81" s="52">
        <v>80</v>
      </c>
      <c r="C81" s="8" t="s">
        <v>85</v>
      </c>
      <c r="D81" s="7">
        <v>5</v>
      </c>
      <c r="E81" s="56" t="s">
        <v>8</v>
      </c>
      <c r="F81" s="52">
        <v>0</v>
      </c>
    </row>
    <row r="82" spans="1:6" x14ac:dyDescent="0.2">
      <c r="A82" s="49" t="s">
        <v>1149</v>
      </c>
      <c r="B82" s="52">
        <v>81</v>
      </c>
      <c r="C82" s="8" t="s">
        <v>86</v>
      </c>
      <c r="D82" s="7">
        <v>5</v>
      </c>
      <c r="E82" s="56" t="s">
        <v>8</v>
      </c>
      <c r="F82" s="52">
        <v>0</v>
      </c>
    </row>
    <row r="83" spans="1:6" x14ac:dyDescent="0.2">
      <c r="A83" s="49" t="s">
        <v>1149</v>
      </c>
      <c r="B83" s="52">
        <v>82</v>
      </c>
      <c r="C83" s="8" t="s">
        <v>87</v>
      </c>
      <c r="D83" s="7">
        <v>5</v>
      </c>
      <c r="E83" s="56" t="s">
        <v>8</v>
      </c>
      <c r="F83" s="52">
        <v>0</v>
      </c>
    </row>
    <row r="84" spans="1:6" x14ac:dyDescent="0.2">
      <c r="A84" s="49" t="s">
        <v>1149</v>
      </c>
      <c r="B84" s="52">
        <v>83</v>
      </c>
      <c r="C84" s="8" t="s">
        <v>88</v>
      </c>
      <c r="D84" s="7">
        <v>1</v>
      </c>
      <c r="E84" s="56" t="s">
        <v>19</v>
      </c>
      <c r="F84" s="52">
        <v>0</v>
      </c>
    </row>
    <row r="85" spans="1:6" x14ac:dyDescent="0.2">
      <c r="A85" s="49" t="s">
        <v>1149</v>
      </c>
      <c r="B85" s="52">
        <v>84</v>
      </c>
      <c r="C85" s="8" t="s">
        <v>89</v>
      </c>
      <c r="D85" s="7">
        <v>5</v>
      </c>
      <c r="E85" s="56" t="s">
        <v>8</v>
      </c>
      <c r="F85" s="52">
        <v>0</v>
      </c>
    </row>
    <row r="86" spans="1:6" x14ac:dyDescent="0.2">
      <c r="A86" s="49" t="s">
        <v>1149</v>
      </c>
      <c r="B86" s="52">
        <v>85</v>
      </c>
      <c r="C86" s="8" t="s">
        <v>90</v>
      </c>
      <c r="D86" s="7">
        <v>5</v>
      </c>
      <c r="E86" s="56" t="s">
        <v>8</v>
      </c>
      <c r="F86" s="52">
        <v>0</v>
      </c>
    </row>
    <row r="87" spans="1:6" x14ac:dyDescent="0.2">
      <c r="A87" s="49" t="s">
        <v>1149</v>
      </c>
      <c r="B87" s="52">
        <v>86</v>
      </c>
      <c r="C87" s="8" t="s">
        <v>91</v>
      </c>
      <c r="D87" s="7">
        <v>1</v>
      </c>
      <c r="E87" s="56" t="s">
        <v>19</v>
      </c>
      <c r="F87" s="52">
        <v>0</v>
      </c>
    </row>
    <row r="88" spans="1:6" x14ac:dyDescent="0.2">
      <c r="A88" s="49" t="s">
        <v>1149</v>
      </c>
      <c r="B88" s="52">
        <v>87</v>
      </c>
      <c r="C88" s="8" t="s">
        <v>92</v>
      </c>
      <c r="D88" s="7">
        <v>5</v>
      </c>
      <c r="E88" s="56" t="s">
        <v>8</v>
      </c>
      <c r="F88" s="52">
        <v>0</v>
      </c>
    </row>
    <row r="89" spans="1:6" x14ac:dyDescent="0.2">
      <c r="A89" s="49" t="s">
        <v>1149</v>
      </c>
      <c r="B89" s="52">
        <v>88</v>
      </c>
      <c r="C89" s="8" t="s">
        <v>93</v>
      </c>
      <c r="D89" s="7">
        <v>3</v>
      </c>
      <c r="E89" s="56" t="s">
        <v>20</v>
      </c>
      <c r="F89" s="52">
        <v>0</v>
      </c>
    </row>
    <row r="90" spans="1:6" x14ac:dyDescent="0.2">
      <c r="A90" s="49" t="s">
        <v>1149</v>
      </c>
      <c r="B90" s="52">
        <v>89</v>
      </c>
      <c r="C90" s="8" t="s">
        <v>94</v>
      </c>
      <c r="D90" s="7">
        <v>5</v>
      </c>
      <c r="E90" s="56" t="s">
        <v>8</v>
      </c>
      <c r="F90" s="52">
        <v>0</v>
      </c>
    </row>
    <row r="91" spans="1:6" x14ac:dyDescent="0.2">
      <c r="A91" s="49" t="s">
        <v>1149</v>
      </c>
      <c r="B91" s="52">
        <v>90</v>
      </c>
      <c r="C91" s="8" t="s">
        <v>95</v>
      </c>
      <c r="D91" s="7">
        <v>5</v>
      </c>
      <c r="E91" s="56" t="s">
        <v>8</v>
      </c>
      <c r="F91" s="52">
        <v>0</v>
      </c>
    </row>
    <row r="92" spans="1:6" x14ac:dyDescent="0.2">
      <c r="A92" s="49" t="s">
        <v>1149</v>
      </c>
      <c r="B92" s="52">
        <v>91</v>
      </c>
      <c r="C92" s="8" t="s">
        <v>96</v>
      </c>
      <c r="D92" s="7">
        <v>5</v>
      </c>
      <c r="E92" s="56" t="s">
        <v>8</v>
      </c>
      <c r="F92" s="52">
        <v>0</v>
      </c>
    </row>
    <row r="93" spans="1:6" x14ac:dyDescent="0.2">
      <c r="A93" s="49" t="s">
        <v>1149</v>
      </c>
      <c r="B93" s="52">
        <v>92</v>
      </c>
      <c r="C93" s="8" t="s">
        <v>97</v>
      </c>
      <c r="D93" s="7">
        <v>5</v>
      </c>
      <c r="E93" s="56" t="s">
        <v>8</v>
      </c>
      <c r="F93" s="52">
        <v>0</v>
      </c>
    </row>
    <row r="94" spans="1:6" x14ac:dyDescent="0.2">
      <c r="A94" s="49" t="s">
        <v>1149</v>
      </c>
      <c r="B94" s="52">
        <v>93</v>
      </c>
      <c r="C94" s="8" t="s">
        <v>98</v>
      </c>
      <c r="D94" s="7">
        <v>5</v>
      </c>
      <c r="E94" s="56" t="s">
        <v>8</v>
      </c>
      <c r="F94" s="52">
        <v>0</v>
      </c>
    </row>
    <row r="95" spans="1:6" x14ac:dyDescent="0.2">
      <c r="A95" s="49" t="s">
        <v>1149</v>
      </c>
      <c r="B95" s="52">
        <v>94</v>
      </c>
      <c r="C95" s="8" t="s">
        <v>99</v>
      </c>
      <c r="D95" s="7">
        <v>5</v>
      </c>
      <c r="E95" s="56" t="s">
        <v>8</v>
      </c>
      <c r="F95" s="52">
        <v>0</v>
      </c>
    </row>
    <row r="96" spans="1:6" x14ac:dyDescent="0.2">
      <c r="A96" s="49" t="s">
        <v>1149</v>
      </c>
      <c r="B96" s="52">
        <v>95</v>
      </c>
      <c r="C96" s="8" t="s">
        <v>100</v>
      </c>
      <c r="D96" s="7">
        <v>3</v>
      </c>
      <c r="E96" s="56" t="s">
        <v>20</v>
      </c>
      <c r="F96" s="52">
        <v>0</v>
      </c>
    </row>
    <row r="97" spans="1:6" x14ac:dyDescent="0.2">
      <c r="A97" s="49" t="s">
        <v>1149</v>
      </c>
      <c r="B97" s="52">
        <v>96</v>
      </c>
      <c r="C97" s="8" t="s">
        <v>101</v>
      </c>
      <c r="D97" s="7">
        <v>5</v>
      </c>
      <c r="E97" s="56" t="s">
        <v>8</v>
      </c>
      <c r="F97" s="52">
        <v>0</v>
      </c>
    </row>
    <row r="98" spans="1:6" x14ac:dyDescent="0.2">
      <c r="A98" s="49" t="s">
        <v>1149</v>
      </c>
      <c r="B98" s="52">
        <v>97</v>
      </c>
      <c r="C98" s="8" t="s">
        <v>102</v>
      </c>
      <c r="D98" s="7">
        <v>5</v>
      </c>
      <c r="E98" s="56" t="s">
        <v>8</v>
      </c>
      <c r="F98" s="52">
        <v>0</v>
      </c>
    </row>
    <row r="99" spans="1:6" x14ac:dyDescent="0.2">
      <c r="A99" s="49" t="s">
        <v>1149</v>
      </c>
      <c r="B99" s="52">
        <v>98</v>
      </c>
      <c r="C99" s="8" t="s">
        <v>103</v>
      </c>
      <c r="D99" s="7">
        <v>5</v>
      </c>
      <c r="E99" s="56" t="s">
        <v>8</v>
      </c>
      <c r="F99" s="52">
        <v>0</v>
      </c>
    </row>
    <row r="100" spans="1:6" x14ac:dyDescent="0.2">
      <c r="A100" s="49" t="s">
        <v>1149</v>
      </c>
      <c r="B100" s="52">
        <v>99</v>
      </c>
      <c r="C100" s="8" t="s">
        <v>1582</v>
      </c>
      <c r="D100" s="7">
        <v>5</v>
      </c>
      <c r="E100" s="56" t="s">
        <v>8</v>
      </c>
      <c r="F100" s="52">
        <v>0</v>
      </c>
    </row>
    <row r="101" spans="1:6" x14ac:dyDescent="0.2">
      <c r="A101" s="49" t="s">
        <v>1149</v>
      </c>
      <c r="B101" s="52">
        <v>100</v>
      </c>
      <c r="C101" s="8" t="s">
        <v>104</v>
      </c>
      <c r="D101" s="7">
        <v>5</v>
      </c>
      <c r="E101" s="56" t="s">
        <v>8</v>
      </c>
      <c r="F101" s="52">
        <v>0</v>
      </c>
    </row>
    <row r="102" spans="1:6" x14ac:dyDescent="0.2">
      <c r="A102" s="49" t="s">
        <v>1149</v>
      </c>
      <c r="B102" s="52">
        <v>101</v>
      </c>
      <c r="C102" s="8" t="s">
        <v>105</v>
      </c>
      <c r="D102" s="7">
        <v>3</v>
      </c>
      <c r="E102" s="56" t="s">
        <v>20</v>
      </c>
      <c r="F102" s="52">
        <v>0</v>
      </c>
    </row>
    <row r="103" spans="1:6" x14ac:dyDescent="0.2">
      <c r="A103" s="49" t="s">
        <v>1149</v>
      </c>
      <c r="B103" s="52">
        <v>102</v>
      </c>
      <c r="C103" s="8" t="s">
        <v>106</v>
      </c>
      <c r="D103" s="7">
        <v>1</v>
      </c>
      <c r="E103" s="56" t="s">
        <v>19</v>
      </c>
      <c r="F103" s="52">
        <v>0</v>
      </c>
    </row>
    <row r="104" spans="1:6" x14ac:dyDescent="0.2">
      <c r="A104" s="49" t="s">
        <v>1149</v>
      </c>
      <c r="B104" s="52">
        <v>103</v>
      </c>
      <c r="C104" s="8" t="s">
        <v>1584</v>
      </c>
      <c r="D104" s="7">
        <v>5</v>
      </c>
      <c r="E104" s="56" t="s">
        <v>8</v>
      </c>
      <c r="F104" s="52">
        <v>0</v>
      </c>
    </row>
    <row r="105" spans="1:6" x14ac:dyDescent="0.2">
      <c r="A105" s="49" t="s">
        <v>1149</v>
      </c>
      <c r="B105" s="52">
        <v>104</v>
      </c>
      <c r="C105" s="8" t="s">
        <v>107</v>
      </c>
      <c r="D105" s="7">
        <v>5</v>
      </c>
      <c r="E105" s="56" t="s">
        <v>8</v>
      </c>
      <c r="F105" s="52">
        <v>0</v>
      </c>
    </row>
    <row r="106" spans="1:6" x14ac:dyDescent="0.2">
      <c r="A106" s="49" t="s">
        <v>1149</v>
      </c>
      <c r="B106" s="52">
        <v>105</v>
      </c>
      <c r="C106" s="8" t="s">
        <v>108</v>
      </c>
      <c r="D106" s="7">
        <v>5</v>
      </c>
      <c r="E106" s="56" t="s">
        <v>109</v>
      </c>
      <c r="F106" s="52">
        <v>1</v>
      </c>
    </row>
    <row r="107" spans="1:6" x14ac:dyDescent="0.2">
      <c r="A107" s="49" t="s">
        <v>1149</v>
      </c>
      <c r="B107" s="52">
        <v>106</v>
      </c>
      <c r="C107" s="8" t="s">
        <v>110</v>
      </c>
      <c r="D107" s="7">
        <v>5</v>
      </c>
      <c r="E107" s="56" t="s">
        <v>8</v>
      </c>
      <c r="F107" s="52">
        <v>0</v>
      </c>
    </row>
    <row r="108" spans="1:6" x14ac:dyDescent="0.2">
      <c r="A108" s="49" t="s">
        <v>1149</v>
      </c>
      <c r="B108" s="52">
        <v>107</v>
      </c>
      <c r="C108" s="8" t="s">
        <v>111</v>
      </c>
      <c r="D108" s="7">
        <v>1</v>
      </c>
      <c r="E108" s="56" t="s">
        <v>19</v>
      </c>
      <c r="F108" s="52">
        <v>0</v>
      </c>
    </row>
    <row r="109" spans="1:6" x14ac:dyDescent="0.2">
      <c r="A109" s="49" t="s">
        <v>1149</v>
      </c>
      <c r="B109" s="52">
        <v>108</v>
      </c>
      <c r="C109" s="8" t="s">
        <v>112</v>
      </c>
      <c r="D109" s="7">
        <v>5</v>
      </c>
      <c r="E109" s="56" t="s">
        <v>8</v>
      </c>
      <c r="F109" s="52">
        <v>0</v>
      </c>
    </row>
    <row r="110" spans="1:6" x14ac:dyDescent="0.2">
      <c r="A110" s="49" t="s">
        <v>1149</v>
      </c>
      <c r="B110" s="52">
        <v>109</v>
      </c>
      <c r="C110" s="8" t="s">
        <v>113</v>
      </c>
      <c r="D110" s="7">
        <v>3</v>
      </c>
      <c r="E110" s="56" t="s">
        <v>20</v>
      </c>
      <c r="F110" s="52">
        <v>0</v>
      </c>
    </row>
    <row r="111" spans="1:6" x14ac:dyDescent="0.2">
      <c r="A111" s="49" t="s">
        <v>1149</v>
      </c>
      <c r="B111" s="52">
        <v>110</v>
      </c>
      <c r="C111" s="8" t="s">
        <v>114</v>
      </c>
      <c r="D111" s="7">
        <v>1</v>
      </c>
      <c r="E111" s="56" t="s">
        <v>19</v>
      </c>
      <c r="F111" s="52">
        <v>0</v>
      </c>
    </row>
    <row r="112" spans="1:6" x14ac:dyDescent="0.2">
      <c r="A112" s="49" t="s">
        <v>1149</v>
      </c>
      <c r="B112" s="52">
        <v>111</v>
      </c>
      <c r="C112" s="8" t="s">
        <v>115</v>
      </c>
      <c r="D112" s="7">
        <v>5</v>
      </c>
      <c r="E112" s="56" t="s">
        <v>8</v>
      </c>
      <c r="F112" s="52">
        <v>0</v>
      </c>
    </row>
    <row r="113" spans="1:6" x14ac:dyDescent="0.2">
      <c r="A113" s="49" t="s">
        <v>1149</v>
      </c>
      <c r="B113" s="52">
        <v>112</v>
      </c>
      <c r="C113" s="8" t="s">
        <v>116</v>
      </c>
      <c r="D113" s="7">
        <v>1</v>
      </c>
      <c r="E113" s="56" t="s">
        <v>19</v>
      </c>
      <c r="F113" s="52">
        <v>0</v>
      </c>
    </row>
    <row r="114" spans="1:6" x14ac:dyDescent="0.2">
      <c r="A114" s="49" t="s">
        <v>1149</v>
      </c>
      <c r="B114" s="52">
        <v>113</v>
      </c>
      <c r="C114" s="8" t="s">
        <v>117</v>
      </c>
      <c r="D114" s="7">
        <v>5</v>
      </c>
      <c r="E114" s="56" t="s">
        <v>8</v>
      </c>
      <c r="F114" s="52">
        <v>0</v>
      </c>
    </row>
    <row r="115" spans="1:6" x14ac:dyDescent="0.2">
      <c r="A115" s="49" t="s">
        <v>1149</v>
      </c>
      <c r="B115" s="52">
        <v>114</v>
      </c>
      <c r="C115" s="8" t="s">
        <v>118</v>
      </c>
      <c r="D115" s="7">
        <v>3</v>
      </c>
      <c r="E115" s="56" t="s">
        <v>20</v>
      </c>
      <c r="F115" s="52">
        <v>0</v>
      </c>
    </row>
    <row r="116" spans="1:6" x14ac:dyDescent="0.2">
      <c r="A116" s="49" t="s">
        <v>1149</v>
      </c>
      <c r="B116" s="52">
        <v>115</v>
      </c>
      <c r="C116" s="8" t="s">
        <v>119</v>
      </c>
      <c r="D116" s="7">
        <v>5</v>
      </c>
      <c r="E116" s="56" t="s">
        <v>8</v>
      </c>
      <c r="F116" s="52">
        <v>0</v>
      </c>
    </row>
    <row r="117" spans="1:6" x14ac:dyDescent="0.2">
      <c r="A117" s="49" t="s">
        <v>1149</v>
      </c>
      <c r="B117" s="52">
        <v>116</v>
      </c>
      <c r="C117" s="8" t="s">
        <v>120</v>
      </c>
      <c r="D117" s="7">
        <v>5</v>
      </c>
      <c r="E117" s="56" t="s">
        <v>8</v>
      </c>
      <c r="F117" s="52">
        <v>0</v>
      </c>
    </row>
    <row r="118" spans="1:6" x14ac:dyDescent="0.2">
      <c r="A118" s="49" t="s">
        <v>1149</v>
      </c>
      <c r="B118" s="52">
        <v>117</v>
      </c>
      <c r="C118" s="8" t="s">
        <v>121</v>
      </c>
      <c r="D118" s="7">
        <v>5</v>
      </c>
      <c r="E118" s="56" t="s">
        <v>8</v>
      </c>
      <c r="F118" s="52">
        <v>0</v>
      </c>
    </row>
    <row r="119" spans="1:6" x14ac:dyDescent="0.2">
      <c r="A119" s="49" t="s">
        <v>1149</v>
      </c>
      <c r="B119" s="52">
        <v>118</v>
      </c>
      <c r="C119" s="8" t="s">
        <v>1583</v>
      </c>
      <c r="D119" s="7">
        <v>5</v>
      </c>
      <c r="E119" s="56" t="s">
        <v>109</v>
      </c>
      <c r="F119" s="52">
        <v>1</v>
      </c>
    </row>
    <row r="120" spans="1:6" x14ac:dyDescent="0.2">
      <c r="A120" s="49" t="s">
        <v>1149</v>
      </c>
      <c r="B120" s="52">
        <v>119</v>
      </c>
      <c r="C120" s="8" t="s">
        <v>122</v>
      </c>
      <c r="D120" s="7">
        <v>1</v>
      </c>
      <c r="E120" s="56" t="s">
        <v>19</v>
      </c>
      <c r="F120" s="52">
        <v>0</v>
      </c>
    </row>
    <row r="121" spans="1:6" x14ac:dyDescent="0.2">
      <c r="A121" s="49" t="s">
        <v>1149</v>
      </c>
      <c r="B121" s="52">
        <v>120</v>
      </c>
      <c r="C121" s="8" t="s">
        <v>123</v>
      </c>
      <c r="D121" s="7">
        <v>5</v>
      </c>
      <c r="E121" s="56" t="s">
        <v>8</v>
      </c>
      <c r="F121" s="52">
        <v>0</v>
      </c>
    </row>
    <row r="122" spans="1:6" x14ac:dyDescent="0.2">
      <c r="A122" s="49" t="s">
        <v>1149</v>
      </c>
      <c r="B122" s="52">
        <v>121</v>
      </c>
      <c r="C122" s="8" t="s">
        <v>124</v>
      </c>
      <c r="D122" s="7">
        <v>5</v>
      </c>
      <c r="E122" s="56" t="s">
        <v>8</v>
      </c>
      <c r="F122" s="52">
        <v>0</v>
      </c>
    </row>
    <row r="123" spans="1:6" x14ac:dyDescent="0.2">
      <c r="A123" s="49" t="s">
        <v>1149</v>
      </c>
      <c r="B123" s="52">
        <v>122</v>
      </c>
      <c r="C123" s="8" t="s">
        <v>125</v>
      </c>
      <c r="D123" s="7">
        <v>5</v>
      </c>
      <c r="E123" s="56" t="s">
        <v>8</v>
      </c>
      <c r="F123" s="52">
        <v>0</v>
      </c>
    </row>
    <row r="124" spans="1:6" x14ac:dyDescent="0.2">
      <c r="A124" s="49" t="s">
        <v>1149</v>
      </c>
      <c r="B124" s="52">
        <v>123</v>
      </c>
      <c r="C124" s="8" t="s">
        <v>126</v>
      </c>
      <c r="D124" s="7">
        <v>5</v>
      </c>
      <c r="E124" s="56" t="s">
        <v>8</v>
      </c>
      <c r="F124" s="52">
        <v>0</v>
      </c>
    </row>
    <row r="125" spans="1:6" x14ac:dyDescent="0.2">
      <c r="A125" s="49" t="s">
        <v>1149</v>
      </c>
      <c r="B125" s="52">
        <v>124</v>
      </c>
      <c r="C125" s="8" t="s">
        <v>127</v>
      </c>
      <c r="D125" s="7">
        <v>1</v>
      </c>
      <c r="E125" s="56" t="s">
        <v>19</v>
      </c>
      <c r="F125" s="52">
        <v>0</v>
      </c>
    </row>
    <row r="126" spans="1:6" x14ac:dyDescent="0.2">
      <c r="A126" s="49" t="s">
        <v>1149</v>
      </c>
      <c r="B126" s="52">
        <v>125</v>
      </c>
      <c r="C126" s="8" t="s">
        <v>1585</v>
      </c>
      <c r="D126" s="7">
        <v>5</v>
      </c>
      <c r="E126" s="56" t="s">
        <v>8</v>
      </c>
      <c r="F126" s="52">
        <v>0</v>
      </c>
    </row>
    <row r="127" spans="1:6" x14ac:dyDescent="0.2">
      <c r="A127" s="49" t="s">
        <v>1149</v>
      </c>
      <c r="B127" s="52">
        <v>126</v>
      </c>
      <c r="C127" s="8" t="s">
        <v>128</v>
      </c>
      <c r="D127" s="7">
        <v>5</v>
      </c>
      <c r="E127" s="56" t="s">
        <v>8</v>
      </c>
      <c r="F127" s="52">
        <v>0</v>
      </c>
    </row>
    <row r="128" spans="1:6" x14ac:dyDescent="0.2">
      <c r="A128" s="49" t="s">
        <v>1149</v>
      </c>
      <c r="B128" s="52">
        <v>127</v>
      </c>
      <c r="C128" s="8" t="s">
        <v>129</v>
      </c>
      <c r="D128" s="7">
        <v>5</v>
      </c>
      <c r="E128" s="56" t="s">
        <v>8</v>
      </c>
      <c r="F128" s="52">
        <v>0</v>
      </c>
    </row>
    <row r="129" spans="1:6" x14ac:dyDescent="0.2">
      <c r="A129" s="49" t="s">
        <v>1149</v>
      </c>
      <c r="B129" s="52">
        <v>128</v>
      </c>
      <c r="C129" s="8" t="s">
        <v>130</v>
      </c>
      <c r="D129" s="7">
        <v>5</v>
      </c>
      <c r="E129" s="56" t="s">
        <v>8</v>
      </c>
      <c r="F129" s="52">
        <v>0</v>
      </c>
    </row>
    <row r="130" spans="1:6" x14ac:dyDescent="0.2">
      <c r="A130" s="49" t="s">
        <v>1149</v>
      </c>
      <c r="B130" s="52">
        <v>129</v>
      </c>
      <c r="C130" s="8" t="s">
        <v>131</v>
      </c>
      <c r="D130" s="7">
        <v>5</v>
      </c>
      <c r="E130" s="56" t="s">
        <v>8</v>
      </c>
      <c r="F130" s="52">
        <v>0</v>
      </c>
    </row>
    <row r="131" spans="1:6" x14ac:dyDescent="0.2">
      <c r="A131" s="49" t="s">
        <v>1149</v>
      </c>
      <c r="B131" s="52">
        <v>130</v>
      </c>
      <c r="C131" s="8" t="s">
        <v>132</v>
      </c>
      <c r="D131" s="7">
        <v>1</v>
      </c>
      <c r="E131" s="56" t="s">
        <v>19</v>
      </c>
      <c r="F131" s="52">
        <v>0</v>
      </c>
    </row>
    <row r="132" spans="1:6" x14ac:dyDescent="0.2">
      <c r="A132" s="49" t="s">
        <v>1149</v>
      </c>
      <c r="B132" s="52">
        <v>131</v>
      </c>
      <c r="C132" s="8" t="s">
        <v>133</v>
      </c>
      <c r="D132" s="7">
        <v>3</v>
      </c>
      <c r="E132" s="56" t="s">
        <v>20</v>
      </c>
      <c r="F132" s="52">
        <v>0</v>
      </c>
    </row>
    <row r="133" spans="1:6" x14ac:dyDescent="0.2">
      <c r="A133" s="49" t="s">
        <v>1149</v>
      </c>
      <c r="B133" s="52">
        <v>132</v>
      </c>
      <c r="C133" s="8" t="s">
        <v>134</v>
      </c>
      <c r="D133" s="7">
        <v>3</v>
      </c>
      <c r="E133" s="56" t="s">
        <v>20</v>
      </c>
      <c r="F133" s="52">
        <v>0</v>
      </c>
    </row>
    <row r="134" spans="1:6" x14ac:dyDescent="0.2">
      <c r="A134" s="49" t="s">
        <v>1149</v>
      </c>
      <c r="B134" s="52">
        <v>133</v>
      </c>
      <c r="C134" s="8" t="s">
        <v>135</v>
      </c>
      <c r="D134" s="7">
        <v>3</v>
      </c>
      <c r="E134" s="56" t="s">
        <v>20</v>
      </c>
      <c r="F134" s="52">
        <v>0</v>
      </c>
    </row>
    <row r="135" spans="1:6" x14ac:dyDescent="0.2">
      <c r="A135" s="49" t="s">
        <v>1149</v>
      </c>
      <c r="B135" s="52">
        <v>134</v>
      </c>
      <c r="C135" s="8" t="s">
        <v>136</v>
      </c>
      <c r="D135" s="7">
        <v>5</v>
      </c>
      <c r="E135" s="56" t="s">
        <v>8</v>
      </c>
      <c r="F135" s="52">
        <v>0</v>
      </c>
    </row>
    <row r="136" spans="1:6" x14ac:dyDescent="0.2">
      <c r="A136" s="49" t="s">
        <v>1149</v>
      </c>
      <c r="B136" s="52">
        <v>135</v>
      </c>
      <c r="C136" s="8" t="s">
        <v>137</v>
      </c>
      <c r="D136" s="7">
        <v>5</v>
      </c>
      <c r="E136" s="56" t="s">
        <v>8</v>
      </c>
      <c r="F136" s="52">
        <v>0</v>
      </c>
    </row>
    <row r="137" spans="1:6" x14ac:dyDescent="0.2">
      <c r="A137" s="49" t="s">
        <v>1149</v>
      </c>
      <c r="B137" s="52">
        <v>136</v>
      </c>
      <c r="C137" s="8" t="s">
        <v>138</v>
      </c>
      <c r="D137" s="7">
        <v>5</v>
      </c>
      <c r="E137" s="56" t="s">
        <v>8</v>
      </c>
      <c r="F137" s="52">
        <v>0</v>
      </c>
    </row>
    <row r="138" spans="1:6" x14ac:dyDescent="0.2">
      <c r="A138" s="49" t="s">
        <v>1149</v>
      </c>
      <c r="B138" s="52">
        <v>137</v>
      </c>
      <c r="C138" s="8" t="s">
        <v>139</v>
      </c>
      <c r="D138" s="7">
        <v>5</v>
      </c>
      <c r="E138" s="56" t="s">
        <v>8</v>
      </c>
      <c r="F138" s="52">
        <v>0</v>
      </c>
    </row>
    <row r="139" spans="1:6" x14ac:dyDescent="0.2">
      <c r="A139" s="49" t="s">
        <v>1149</v>
      </c>
      <c r="B139" s="52">
        <v>138</v>
      </c>
      <c r="C139" s="8" t="s">
        <v>140</v>
      </c>
      <c r="D139" s="7">
        <v>5</v>
      </c>
      <c r="E139" s="56" t="s">
        <v>8</v>
      </c>
      <c r="F139" s="52">
        <v>0</v>
      </c>
    </row>
    <row r="140" spans="1:6" x14ac:dyDescent="0.2">
      <c r="A140" s="49" t="s">
        <v>1149</v>
      </c>
      <c r="B140" s="52">
        <v>139</v>
      </c>
      <c r="C140" s="8" t="s">
        <v>141</v>
      </c>
      <c r="D140" s="7">
        <v>5</v>
      </c>
      <c r="E140" s="56" t="s">
        <v>8</v>
      </c>
      <c r="F140" s="52">
        <v>0</v>
      </c>
    </row>
    <row r="141" spans="1:6" x14ac:dyDescent="0.2">
      <c r="A141" s="49" t="s">
        <v>1149</v>
      </c>
      <c r="B141" s="52">
        <v>140</v>
      </c>
      <c r="C141" s="8" t="s">
        <v>142</v>
      </c>
      <c r="D141" s="7">
        <v>1</v>
      </c>
      <c r="E141" s="56" t="s">
        <v>19</v>
      </c>
      <c r="F141" s="52">
        <v>0</v>
      </c>
    </row>
    <row r="142" spans="1:6" x14ac:dyDescent="0.2">
      <c r="A142" s="49" t="s">
        <v>1149</v>
      </c>
      <c r="B142" s="52">
        <v>141</v>
      </c>
      <c r="C142" s="8" t="s">
        <v>143</v>
      </c>
      <c r="D142" s="7">
        <v>5</v>
      </c>
      <c r="E142" s="56" t="s">
        <v>8</v>
      </c>
      <c r="F142" s="52">
        <v>0</v>
      </c>
    </row>
    <row r="143" spans="1:6" x14ac:dyDescent="0.2">
      <c r="A143" s="49" t="s">
        <v>1149</v>
      </c>
      <c r="B143" s="52">
        <v>142</v>
      </c>
      <c r="C143" s="8" t="s">
        <v>144</v>
      </c>
      <c r="D143" s="7">
        <v>5</v>
      </c>
      <c r="E143" s="56" t="s">
        <v>8</v>
      </c>
      <c r="F143" s="52">
        <v>0</v>
      </c>
    </row>
    <row r="144" spans="1:6" x14ac:dyDescent="0.2">
      <c r="A144" s="49" t="s">
        <v>1149</v>
      </c>
      <c r="B144" s="52">
        <v>143</v>
      </c>
      <c r="C144" s="8" t="s">
        <v>145</v>
      </c>
      <c r="D144" s="7">
        <v>3</v>
      </c>
      <c r="E144" s="56" t="s">
        <v>20</v>
      </c>
      <c r="F144" s="52">
        <v>0</v>
      </c>
    </row>
    <row r="145" spans="1:6" x14ac:dyDescent="0.2">
      <c r="A145" s="49" t="s">
        <v>1149</v>
      </c>
      <c r="B145" s="52">
        <v>144</v>
      </c>
      <c r="C145" s="8" t="s">
        <v>146</v>
      </c>
      <c r="D145" s="7">
        <v>5</v>
      </c>
      <c r="E145" s="56" t="s">
        <v>8</v>
      </c>
      <c r="F145" s="52">
        <v>0</v>
      </c>
    </row>
    <row r="146" spans="1:6" x14ac:dyDescent="0.2">
      <c r="A146" s="49" t="s">
        <v>1149</v>
      </c>
      <c r="B146" s="52">
        <v>145</v>
      </c>
      <c r="C146" s="8" t="s">
        <v>147</v>
      </c>
      <c r="D146" s="7">
        <v>5</v>
      </c>
      <c r="E146" s="56" t="s">
        <v>8</v>
      </c>
      <c r="F146" s="52">
        <v>0</v>
      </c>
    </row>
    <row r="147" spans="1:6" x14ac:dyDescent="0.2">
      <c r="A147" s="49" t="s">
        <v>1149</v>
      </c>
      <c r="B147" s="52">
        <v>146</v>
      </c>
      <c r="C147" s="8" t="s">
        <v>148</v>
      </c>
      <c r="D147" s="7">
        <v>1</v>
      </c>
      <c r="E147" s="56" t="s">
        <v>19</v>
      </c>
      <c r="F147" s="52">
        <v>0</v>
      </c>
    </row>
    <row r="148" spans="1:6" x14ac:dyDescent="0.2">
      <c r="A148" s="49" t="s">
        <v>1149</v>
      </c>
      <c r="B148" s="52">
        <v>147</v>
      </c>
      <c r="C148" s="8" t="s">
        <v>149</v>
      </c>
      <c r="D148" s="7">
        <v>5</v>
      </c>
      <c r="E148" s="56" t="s">
        <v>8</v>
      </c>
      <c r="F148" s="52">
        <v>0</v>
      </c>
    </row>
    <row r="149" spans="1:6" x14ac:dyDescent="0.2">
      <c r="A149" s="49" t="s">
        <v>1149</v>
      </c>
      <c r="B149" s="52">
        <v>148</v>
      </c>
      <c r="C149" s="8" t="s">
        <v>150</v>
      </c>
      <c r="D149" s="7">
        <v>5</v>
      </c>
      <c r="E149" s="56" t="s">
        <v>8</v>
      </c>
      <c r="F149" s="52">
        <v>0</v>
      </c>
    </row>
    <row r="150" spans="1:6" x14ac:dyDescent="0.2">
      <c r="A150" s="49" t="s">
        <v>1149</v>
      </c>
      <c r="B150" s="52">
        <v>149</v>
      </c>
      <c r="C150" s="8" t="s">
        <v>151</v>
      </c>
      <c r="D150" s="7">
        <v>5</v>
      </c>
      <c r="E150" s="56" t="s">
        <v>8</v>
      </c>
      <c r="F150" s="52">
        <v>0</v>
      </c>
    </row>
    <row r="151" spans="1:6" x14ac:dyDescent="0.2">
      <c r="A151" s="49" t="s">
        <v>1149</v>
      </c>
      <c r="B151" s="52">
        <v>150</v>
      </c>
      <c r="C151" s="8" t="s">
        <v>152</v>
      </c>
      <c r="D151" s="7">
        <v>3</v>
      </c>
      <c r="E151" s="56" t="s">
        <v>20</v>
      </c>
      <c r="F151" s="52">
        <v>0</v>
      </c>
    </row>
    <row r="152" spans="1:6" x14ac:dyDescent="0.2">
      <c r="A152" s="49" t="s">
        <v>1149</v>
      </c>
      <c r="B152" s="52">
        <v>151</v>
      </c>
      <c r="C152" s="8" t="s">
        <v>153</v>
      </c>
      <c r="D152" s="7">
        <v>5</v>
      </c>
      <c r="E152" s="56" t="s">
        <v>8</v>
      </c>
      <c r="F152" s="52">
        <v>0</v>
      </c>
    </row>
    <row r="153" spans="1:6" x14ac:dyDescent="0.2">
      <c r="A153" s="49" t="s">
        <v>1149</v>
      </c>
      <c r="B153" s="52">
        <v>152</v>
      </c>
      <c r="C153" s="8" t="s">
        <v>154</v>
      </c>
      <c r="D153" s="7">
        <v>5</v>
      </c>
      <c r="E153" s="56" t="s">
        <v>8</v>
      </c>
      <c r="F153" s="52">
        <v>0</v>
      </c>
    </row>
    <row r="154" spans="1:6" x14ac:dyDescent="0.2">
      <c r="A154" s="49" t="s">
        <v>1149</v>
      </c>
      <c r="B154" s="52">
        <v>153</v>
      </c>
      <c r="C154" s="8" t="s">
        <v>155</v>
      </c>
      <c r="D154" s="7">
        <v>5</v>
      </c>
      <c r="E154" s="56" t="s">
        <v>8</v>
      </c>
      <c r="F154" s="52">
        <v>0</v>
      </c>
    </row>
    <row r="155" spans="1:6" x14ac:dyDescent="0.2">
      <c r="A155" s="49" t="s">
        <v>1149</v>
      </c>
      <c r="B155" s="52">
        <v>154</v>
      </c>
      <c r="C155" s="8" t="s">
        <v>156</v>
      </c>
      <c r="D155" s="7">
        <v>5</v>
      </c>
      <c r="E155" s="56" t="s">
        <v>8</v>
      </c>
      <c r="F155" s="52">
        <v>0</v>
      </c>
    </row>
    <row r="156" spans="1:6" x14ac:dyDescent="0.2">
      <c r="A156" s="49" t="s">
        <v>1149</v>
      </c>
      <c r="B156" s="52">
        <v>155</v>
      </c>
      <c r="C156" s="8" t="s">
        <v>157</v>
      </c>
      <c r="D156" s="7">
        <v>5</v>
      </c>
      <c r="E156" s="56" t="s">
        <v>8</v>
      </c>
      <c r="F156" s="52">
        <v>0</v>
      </c>
    </row>
    <row r="157" spans="1:6" x14ac:dyDescent="0.2">
      <c r="A157" s="49" t="s">
        <v>1149</v>
      </c>
      <c r="B157" s="52">
        <v>156</v>
      </c>
      <c r="C157" s="8" t="s">
        <v>158</v>
      </c>
      <c r="D157" s="7">
        <v>5</v>
      </c>
      <c r="E157" s="56" t="s">
        <v>8</v>
      </c>
      <c r="F157" s="52">
        <v>0</v>
      </c>
    </row>
    <row r="158" spans="1:6" x14ac:dyDescent="0.2">
      <c r="A158" s="49" t="s">
        <v>1149</v>
      </c>
      <c r="B158" s="52">
        <v>157</v>
      </c>
      <c r="C158" s="8" t="s">
        <v>159</v>
      </c>
      <c r="D158" s="7">
        <v>5</v>
      </c>
      <c r="E158" s="56" t="s">
        <v>8</v>
      </c>
      <c r="F158" s="52">
        <v>0</v>
      </c>
    </row>
    <row r="159" spans="1:6" x14ac:dyDescent="0.2">
      <c r="A159" s="49" t="s">
        <v>1149</v>
      </c>
      <c r="B159" s="52">
        <v>158</v>
      </c>
      <c r="C159" s="8" t="s">
        <v>160</v>
      </c>
      <c r="D159" s="7">
        <v>1</v>
      </c>
      <c r="E159" s="56" t="s">
        <v>19</v>
      </c>
      <c r="F159" s="52">
        <v>0</v>
      </c>
    </row>
    <row r="160" spans="1:6" x14ac:dyDescent="0.2">
      <c r="A160" s="49" t="s">
        <v>1149</v>
      </c>
      <c r="B160" s="52">
        <v>159</v>
      </c>
      <c r="C160" s="8" t="s">
        <v>161</v>
      </c>
      <c r="D160" s="7">
        <v>5</v>
      </c>
      <c r="E160" s="56" t="s">
        <v>8</v>
      </c>
      <c r="F160" s="52">
        <v>0</v>
      </c>
    </row>
    <row r="161" spans="1:6" x14ac:dyDescent="0.2">
      <c r="A161" s="49" t="s">
        <v>1149</v>
      </c>
      <c r="B161" s="52">
        <v>160</v>
      </c>
      <c r="C161" s="8" t="s">
        <v>162</v>
      </c>
      <c r="D161" s="7">
        <v>1</v>
      </c>
      <c r="E161" s="56" t="s">
        <v>19</v>
      </c>
      <c r="F161" s="52">
        <v>0</v>
      </c>
    </row>
    <row r="162" spans="1:6" x14ac:dyDescent="0.2">
      <c r="A162" s="49" t="s">
        <v>1149</v>
      </c>
      <c r="B162" s="52">
        <v>161</v>
      </c>
      <c r="C162" s="8" t="s">
        <v>163</v>
      </c>
      <c r="D162" s="7">
        <v>5</v>
      </c>
      <c r="E162" s="56" t="s">
        <v>8</v>
      </c>
      <c r="F162" s="52">
        <v>0</v>
      </c>
    </row>
    <row r="163" spans="1:6" x14ac:dyDescent="0.2">
      <c r="A163" s="49" t="s">
        <v>1149</v>
      </c>
      <c r="B163" s="52">
        <v>162</v>
      </c>
      <c r="C163" s="8" t="s">
        <v>164</v>
      </c>
      <c r="D163" s="7">
        <v>5</v>
      </c>
      <c r="E163" s="56" t="s">
        <v>8</v>
      </c>
      <c r="F163" s="52">
        <v>0</v>
      </c>
    </row>
    <row r="164" spans="1:6" x14ac:dyDescent="0.2">
      <c r="A164" s="49" t="s">
        <v>1149</v>
      </c>
      <c r="B164" s="52">
        <v>163</v>
      </c>
      <c r="C164" s="8" t="s">
        <v>165</v>
      </c>
      <c r="D164" s="7">
        <v>5</v>
      </c>
      <c r="E164" s="56" t="s">
        <v>8</v>
      </c>
      <c r="F164" s="52">
        <v>0</v>
      </c>
    </row>
    <row r="165" spans="1:6" x14ac:dyDescent="0.2">
      <c r="A165" s="49" t="s">
        <v>1149</v>
      </c>
      <c r="B165" s="52">
        <v>164</v>
      </c>
      <c r="C165" s="8" t="s">
        <v>166</v>
      </c>
      <c r="D165" s="7">
        <v>5</v>
      </c>
      <c r="E165" s="56" t="s">
        <v>8</v>
      </c>
      <c r="F165" s="52">
        <v>0</v>
      </c>
    </row>
    <row r="166" spans="1:6" x14ac:dyDescent="0.2">
      <c r="A166" s="49" t="s">
        <v>1149</v>
      </c>
      <c r="B166" s="52">
        <v>165</v>
      </c>
      <c r="C166" s="8" t="s">
        <v>167</v>
      </c>
      <c r="D166" s="7">
        <v>5</v>
      </c>
      <c r="E166" s="56" t="s">
        <v>8</v>
      </c>
      <c r="F166" s="52">
        <v>0</v>
      </c>
    </row>
    <row r="167" spans="1:6" x14ac:dyDescent="0.2">
      <c r="A167" s="49" t="s">
        <v>1149</v>
      </c>
      <c r="B167" s="52">
        <v>166</v>
      </c>
      <c r="C167" s="8" t="s">
        <v>168</v>
      </c>
      <c r="D167" s="7">
        <v>5</v>
      </c>
      <c r="E167" s="56" t="s">
        <v>8</v>
      </c>
      <c r="F167" s="52">
        <v>0</v>
      </c>
    </row>
    <row r="168" spans="1:6" x14ac:dyDescent="0.2">
      <c r="A168" s="49" t="s">
        <v>1149</v>
      </c>
      <c r="B168" s="52">
        <v>167</v>
      </c>
      <c r="C168" s="8" t="s">
        <v>169</v>
      </c>
      <c r="D168" s="7">
        <v>1</v>
      </c>
      <c r="E168" s="56" t="s">
        <v>19</v>
      </c>
      <c r="F168" s="52">
        <v>0</v>
      </c>
    </row>
    <row r="169" spans="1:6" x14ac:dyDescent="0.2">
      <c r="A169" s="49" t="s">
        <v>1149</v>
      </c>
      <c r="B169" s="52">
        <v>168</v>
      </c>
      <c r="C169" s="8" t="s">
        <v>170</v>
      </c>
      <c r="D169" s="7">
        <v>1</v>
      </c>
      <c r="E169" s="56" t="s">
        <v>19</v>
      </c>
      <c r="F169" s="52">
        <v>0</v>
      </c>
    </row>
    <row r="170" spans="1:6" x14ac:dyDescent="0.2">
      <c r="A170" s="49" t="s">
        <v>1149</v>
      </c>
      <c r="B170" s="52">
        <v>169</v>
      </c>
      <c r="C170" s="8" t="s">
        <v>171</v>
      </c>
      <c r="D170" s="7">
        <v>5</v>
      </c>
      <c r="E170" s="56" t="s">
        <v>8</v>
      </c>
      <c r="F170" s="52">
        <v>0</v>
      </c>
    </row>
    <row r="171" spans="1:6" x14ac:dyDescent="0.2">
      <c r="A171" s="49" t="s">
        <v>1149</v>
      </c>
      <c r="B171" s="52">
        <v>170</v>
      </c>
      <c r="C171" s="8" t="s">
        <v>172</v>
      </c>
      <c r="D171" s="7">
        <v>5</v>
      </c>
      <c r="E171" s="56" t="s">
        <v>8</v>
      </c>
      <c r="F171" s="52">
        <v>0</v>
      </c>
    </row>
    <row r="172" spans="1:6" x14ac:dyDescent="0.2">
      <c r="A172" s="49" t="s">
        <v>1149</v>
      </c>
      <c r="B172" s="52">
        <v>171</v>
      </c>
      <c r="C172" s="8" t="s">
        <v>173</v>
      </c>
      <c r="D172" s="7">
        <v>5</v>
      </c>
      <c r="E172" s="56" t="s">
        <v>8</v>
      </c>
      <c r="F172" s="52">
        <v>0</v>
      </c>
    </row>
    <row r="173" spans="1:6" x14ac:dyDescent="0.2">
      <c r="A173" s="49" t="s">
        <v>1149</v>
      </c>
      <c r="B173" s="52">
        <v>172</v>
      </c>
      <c r="C173" s="8" t="s">
        <v>174</v>
      </c>
      <c r="D173" s="7">
        <v>5</v>
      </c>
      <c r="E173" s="56" t="s">
        <v>8</v>
      </c>
      <c r="F173" s="52">
        <v>0</v>
      </c>
    </row>
    <row r="174" spans="1:6" x14ac:dyDescent="0.2">
      <c r="A174" s="49" t="s">
        <v>1149</v>
      </c>
      <c r="B174" s="52">
        <v>173</v>
      </c>
      <c r="C174" s="8" t="s">
        <v>175</v>
      </c>
      <c r="D174" s="7">
        <v>5</v>
      </c>
      <c r="E174" s="56" t="s">
        <v>8</v>
      </c>
      <c r="F174" s="52">
        <v>0</v>
      </c>
    </row>
    <row r="175" spans="1:6" x14ac:dyDescent="0.2">
      <c r="A175" s="49" t="s">
        <v>1149</v>
      </c>
      <c r="B175" s="52">
        <v>174</v>
      </c>
      <c r="C175" s="8" t="s">
        <v>176</v>
      </c>
      <c r="D175" s="7">
        <v>5</v>
      </c>
      <c r="E175" s="56" t="s">
        <v>8</v>
      </c>
      <c r="F175" s="52">
        <v>0</v>
      </c>
    </row>
    <row r="176" spans="1:6" x14ac:dyDescent="0.2">
      <c r="A176" s="49" t="s">
        <v>1149</v>
      </c>
      <c r="B176" s="52">
        <v>175</v>
      </c>
      <c r="C176" s="8" t="s">
        <v>9</v>
      </c>
      <c r="D176" s="7">
        <v>2</v>
      </c>
      <c r="E176" s="56" t="s">
        <v>8</v>
      </c>
      <c r="F176" s="52">
        <v>0</v>
      </c>
    </row>
    <row r="177" spans="1:6" x14ac:dyDescent="0.2">
      <c r="A177" s="49" t="s">
        <v>1149</v>
      </c>
      <c r="B177" s="52">
        <v>176</v>
      </c>
      <c r="C177" s="8" t="s">
        <v>177</v>
      </c>
      <c r="D177" s="7">
        <v>5</v>
      </c>
      <c r="E177" s="56" t="s">
        <v>8</v>
      </c>
      <c r="F177" s="52">
        <v>0</v>
      </c>
    </row>
    <row r="178" spans="1:6" x14ac:dyDescent="0.2">
      <c r="A178" s="49" t="s">
        <v>1149</v>
      </c>
      <c r="B178" s="52">
        <v>177</v>
      </c>
      <c r="C178" s="8" t="s">
        <v>179</v>
      </c>
      <c r="D178" s="7">
        <v>5</v>
      </c>
      <c r="E178" s="56" t="s">
        <v>8</v>
      </c>
      <c r="F178" s="52">
        <v>0</v>
      </c>
    </row>
    <row r="179" spans="1:6" x14ac:dyDescent="0.2">
      <c r="A179" s="49" t="s">
        <v>1149</v>
      </c>
      <c r="B179" s="52">
        <v>178</v>
      </c>
      <c r="C179" s="8" t="s">
        <v>180</v>
      </c>
      <c r="D179" s="7">
        <v>1</v>
      </c>
      <c r="E179" s="56" t="s">
        <v>19</v>
      </c>
      <c r="F179" s="52">
        <v>0</v>
      </c>
    </row>
    <row r="180" spans="1:6" x14ac:dyDescent="0.2">
      <c r="A180" s="49" t="s">
        <v>1149</v>
      </c>
      <c r="B180" s="52">
        <v>179</v>
      </c>
      <c r="C180" s="8" t="s">
        <v>181</v>
      </c>
      <c r="D180" s="7">
        <v>1</v>
      </c>
      <c r="E180" s="56" t="s">
        <v>19</v>
      </c>
      <c r="F180" s="52">
        <v>0</v>
      </c>
    </row>
    <row r="181" spans="1:6" x14ac:dyDescent="0.2">
      <c r="A181" s="49" t="s">
        <v>1149</v>
      </c>
      <c r="B181" s="52">
        <v>180</v>
      </c>
      <c r="C181" s="8" t="s">
        <v>182</v>
      </c>
      <c r="D181" s="7">
        <v>1</v>
      </c>
      <c r="E181" s="56" t="s">
        <v>19</v>
      </c>
      <c r="F181" s="52">
        <v>0</v>
      </c>
    </row>
    <row r="182" spans="1:6" x14ac:dyDescent="0.2">
      <c r="A182" s="49" t="s">
        <v>1149</v>
      </c>
      <c r="B182" s="52">
        <v>181</v>
      </c>
      <c r="C182" s="8" t="s">
        <v>183</v>
      </c>
      <c r="D182" s="7">
        <v>5</v>
      </c>
      <c r="E182" s="56" t="s">
        <v>8</v>
      </c>
      <c r="F182" s="52">
        <v>0</v>
      </c>
    </row>
    <row r="183" spans="1:6" x14ac:dyDescent="0.2">
      <c r="A183" s="49" t="s">
        <v>1149</v>
      </c>
      <c r="B183" s="52">
        <v>182</v>
      </c>
      <c r="C183" s="8" t="s">
        <v>184</v>
      </c>
      <c r="D183" s="7">
        <v>5</v>
      </c>
      <c r="E183" s="56" t="s">
        <v>8</v>
      </c>
      <c r="F183" s="52">
        <v>0</v>
      </c>
    </row>
    <row r="184" spans="1:6" x14ac:dyDescent="0.2">
      <c r="A184" s="49" t="s">
        <v>1149</v>
      </c>
      <c r="B184" s="52">
        <v>183</v>
      </c>
      <c r="C184" s="8" t="s">
        <v>185</v>
      </c>
      <c r="D184" s="7">
        <v>1</v>
      </c>
      <c r="E184" s="56" t="s">
        <v>19</v>
      </c>
      <c r="F184" s="52">
        <v>0</v>
      </c>
    </row>
    <row r="185" spans="1:6" x14ac:dyDescent="0.2">
      <c r="A185" s="49" t="s">
        <v>1149</v>
      </c>
      <c r="B185" s="52">
        <v>184</v>
      </c>
      <c r="C185" s="8" t="s">
        <v>186</v>
      </c>
      <c r="D185" s="7">
        <v>5</v>
      </c>
      <c r="E185" s="56" t="s">
        <v>31</v>
      </c>
      <c r="F185" s="52">
        <v>0</v>
      </c>
    </row>
    <row r="186" spans="1:6" x14ac:dyDescent="0.2">
      <c r="A186" s="49" t="s">
        <v>1149</v>
      </c>
      <c r="B186" s="52">
        <v>185</v>
      </c>
      <c r="C186" s="8" t="s">
        <v>187</v>
      </c>
      <c r="D186" s="7">
        <v>3</v>
      </c>
      <c r="E186" s="56" t="s">
        <v>20</v>
      </c>
      <c r="F186" s="52">
        <v>0</v>
      </c>
    </row>
    <row r="187" spans="1:6" x14ac:dyDescent="0.2">
      <c r="A187" s="49" t="s">
        <v>1149</v>
      </c>
      <c r="B187" s="52">
        <v>186</v>
      </c>
      <c r="C187" s="8" t="s">
        <v>188</v>
      </c>
      <c r="D187" s="7">
        <v>5</v>
      </c>
      <c r="E187" s="56" t="s">
        <v>8</v>
      </c>
      <c r="F187" s="52">
        <v>0</v>
      </c>
    </row>
    <row r="188" spans="1:6" x14ac:dyDescent="0.2">
      <c r="A188" s="49" t="s">
        <v>1149</v>
      </c>
      <c r="B188" s="52">
        <v>187</v>
      </c>
      <c r="C188" s="8" t="s">
        <v>189</v>
      </c>
      <c r="D188" s="7">
        <v>5</v>
      </c>
      <c r="E188" s="56" t="s">
        <v>8</v>
      </c>
      <c r="F188" s="52">
        <v>0</v>
      </c>
    </row>
    <row r="189" spans="1:6" x14ac:dyDescent="0.2">
      <c r="A189" s="49" t="s">
        <v>1149</v>
      </c>
      <c r="B189" s="52">
        <v>188</v>
      </c>
      <c r="C189" s="8" t="s">
        <v>190</v>
      </c>
      <c r="D189" s="7">
        <v>1</v>
      </c>
      <c r="E189" s="56" t="s">
        <v>19</v>
      </c>
      <c r="F189" s="52">
        <v>0</v>
      </c>
    </row>
    <row r="190" spans="1:6" x14ac:dyDescent="0.2">
      <c r="A190" s="49" t="s">
        <v>1149</v>
      </c>
      <c r="B190" s="52">
        <v>189</v>
      </c>
      <c r="C190" s="8" t="s">
        <v>191</v>
      </c>
      <c r="D190" s="7">
        <v>3</v>
      </c>
      <c r="E190" s="56" t="s">
        <v>20</v>
      </c>
      <c r="F190" s="52">
        <v>0</v>
      </c>
    </row>
    <row r="191" spans="1:6" x14ac:dyDescent="0.2">
      <c r="A191" s="49" t="s">
        <v>1149</v>
      </c>
      <c r="B191" s="52">
        <v>190</v>
      </c>
      <c r="C191" s="8" t="s">
        <v>192</v>
      </c>
      <c r="D191" s="7">
        <v>5</v>
      </c>
      <c r="E191" s="56" t="s">
        <v>8</v>
      </c>
      <c r="F191" s="52">
        <v>0</v>
      </c>
    </row>
    <row r="192" spans="1:6" x14ac:dyDescent="0.2">
      <c r="A192" s="49" t="s">
        <v>1149</v>
      </c>
      <c r="B192" s="52">
        <v>191</v>
      </c>
      <c r="C192" s="8" t="s">
        <v>193</v>
      </c>
      <c r="D192" s="7">
        <v>5</v>
      </c>
      <c r="E192" s="56" t="s">
        <v>8</v>
      </c>
      <c r="F192" s="52">
        <v>0</v>
      </c>
    </row>
    <row r="193" spans="1:6" x14ac:dyDescent="0.2">
      <c r="A193" s="49" t="s">
        <v>1149</v>
      </c>
      <c r="B193" s="52">
        <v>192</v>
      </c>
      <c r="C193" s="8" t="s">
        <v>194</v>
      </c>
      <c r="D193" s="7">
        <v>3</v>
      </c>
      <c r="E193" s="56" t="s">
        <v>20</v>
      </c>
      <c r="F193" s="52">
        <v>0</v>
      </c>
    </row>
    <row r="194" spans="1:6" x14ac:dyDescent="0.2">
      <c r="A194" s="49" t="s">
        <v>1149</v>
      </c>
      <c r="B194" s="52">
        <v>193</v>
      </c>
      <c r="C194" s="8" t="s">
        <v>195</v>
      </c>
      <c r="D194" s="7">
        <v>5</v>
      </c>
      <c r="E194" s="56" t="s">
        <v>8</v>
      </c>
      <c r="F194" s="52">
        <v>0</v>
      </c>
    </row>
    <row r="195" spans="1:6" x14ac:dyDescent="0.2">
      <c r="A195" s="49" t="s">
        <v>1149</v>
      </c>
      <c r="B195" s="52">
        <v>194</v>
      </c>
      <c r="C195" s="8" t="s">
        <v>196</v>
      </c>
      <c r="D195" s="7">
        <v>5</v>
      </c>
      <c r="E195" s="56" t="s">
        <v>8</v>
      </c>
      <c r="F195" s="52">
        <v>0</v>
      </c>
    </row>
    <row r="196" spans="1:6" x14ac:dyDescent="0.2">
      <c r="A196" s="49" t="s">
        <v>1149</v>
      </c>
      <c r="B196" s="52">
        <v>195</v>
      </c>
      <c r="C196" s="8" t="s">
        <v>197</v>
      </c>
      <c r="D196" s="7">
        <v>3</v>
      </c>
      <c r="E196" s="56" t="s">
        <v>20</v>
      </c>
      <c r="F196" s="52">
        <v>0</v>
      </c>
    </row>
    <row r="197" spans="1:6" x14ac:dyDescent="0.2">
      <c r="A197" s="49" t="s">
        <v>1149</v>
      </c>
      <c r="B197" s="52">
        <v>196</v>
      </c>
      <c r="C197" s="8" t="s">
        <v>198</v>
      </c>
      <c r="D197" s="7">
        <v>3</v>
      </c>
      <c r="E197" s="56" t="s">
        <v>20</v>
      </c>
      <c r="F197" s="52">
        <v>0</v>
      </c>
    </row>
    <row r="198" spans="1:6" x14ac:dyDescent="0.2">
      <c r="A198" s="49" t="s">
        <v>1149</v>
      </c>
      <c r="B198" s="52">
        <v>197</v>
      </c>
      <c r="C198" s="8" t="s">
        <v>199</v>
      </c>
      <c r="D198" s="7">
        <v>5</v>
      </c>
      <c r="E198" s="56" t="s">
        <v>8</v>
      </c>
      <c r="F198" s="52">
        <v>0</v>
      </c>
    </row>
    <row r="199" spans="1:6" x14ac:dyDescent="0.2">
      <c r="A199" s="49" t="s">
        <v>1149</v>
      </c>
      <c r="B199" s="52">
        <v>198</v>
      </c>
      <c r="C199" s="8" t="s">
        <v>200</v>
      </c>
      <c r="D199" s="7">
        <v>3</v>
      </c>
      <c r="E199" s="56" t="s">
        <v>20</v>
      </c>
      <c r="F199" s="52">
        <v>0</v>
      </c>
    </row>
    <row r="200" spans="1:6" x14ac:dyDescent="0.2">
      <c r="A200" s="49" t="s">
        <v>1149</v>
      </c>
      <c r="B200" s="52">
        <v>199</v>
      </c>
      <c r="C200" s="8" t="s">
        <v>201</v>
      </c>
      <c r="D200" s="7">
        <v>5</v>
      </c>
      <c r="E200" s="56" t="s">
        <v>8</v>
      </c>
      <c r="F200" s="52">
        <v>0</v>
      </c>
    </row>
    <row r="201" spans="1:6" x14ac:dyDescent="0.2">
      <c r="A201" s="49" t="s">
        <v>1149</v>
      </c>
      <c r="B201" s="52">
        <v>200</v>
      </c>
      <c r="C201" s="8" t="s">
        <v>202</v>
      </c>
      <c r="D201" s="7">
        <v>5</v>
      </c>
      <c r="E201" s="56" t="s">
        <v>8</v>
      </c>
      <c r="F201" s="52">
        <v>0</v>
      </c>
    </row>
    <row r="202" spans="1:6" x14ac:dyDescent="0.2">
      <c r="A202" s="49" t="s">
        <v>1149</v>
      </c>
      <c r="B202" s="52">
        <v>201</v>
      </c>
      <c r="C202" s="8" t="s">
        <v>203</v>
      </c>
      <c r="D202" s="7">
        <v>1</v>
      </c>
      <c r="E202" s="56" t="s">
        <v>19</v>
      </c>
      <c r="F202" s="52">
        <v>0</v>
      </c>
    </row>
    <row r="203" spans="1:6" x14ac:dyDescent="0.2">
      <c r="A203" s="49" t="s">
        <v>1149</v>
      </c>
      <c r="B203" s="52">
        <v>202</v>
      </c>
      <c r="C203" s="8" t="s">
        <v>204</v>
      </c>
      <c r="D203" s="7">
        <v>5</v>
      </c>
      <c r="E203" s="56" t="s">
        <v>8</v>
      </c>
      <c r="F203" s="52">
        <v>0</v>
      </c>
    </row>
    <row r="204" spans="1:6" x14ac:dyDescent="0.2">
      <c r="A204" s="49" t="s">
        <v>1149</v>
      </c>
      <c r="B204" s="52">
        <v>203</v>
      </c>
      <c r="C204" s="8" t="s">
        <v>205</v>
      </c>
      <c r="D204" s="7">
        <v>1</v>
      </c>
      <c r="E204" s="56" t="s">
        <v>19</v>
      </c>
      <c r="F204" s="52">
        <v>0</v>
      </c>
    </row>
    <row r="205" spans="1:6" x14ac:dyDescent="0.2">
      <c r="A205" s="49" t="s">
        <v>1149</v>
      </c>
      <c r="B205" s="52">
        <v>204</v>
      </c>
      <c r="C205" s="8" t="s">
        <v>206</v>
      </c>
      <c r="D205" s="7">
        <v>1</v>
      </c>
      <c r="E205" s="56" t="s">
        <v>19</v>
      </c>
      <c r="F205" s="52">
        <v>0</v>
      </c>
    </row>
    <row r="206" spans="1:6" x14ac:dyDescent="0.2">
      <c r="A206" s="49" t="s">
        <v>1149</v>
      </c>
      <c r="B206" s="52">
        <v>205</v>
      </c>
      <c r="C206" s="8" t="s">
        <v>207</v>
      </c>
      <c r="D206" s="7">
        <v>5</v>
      </c>
      <c r="E206" s="56" t="s">
        <v>8</v>
      </c>
      <c r="F206" s="52">
        <v>0</v>
      </c>
    </row>
    <row r="207" spans="1:6" x14ac:dyDescent="0.2">
      <c r="A207" s="49" t="s">
        <v>1149</v>
      </c>
      <c r="B207" s="52">
        <v>206</v>
      </c>
      <c r="C207" s="8" t="s">
        <v>208</v>
      </c>
      <c r="D207" s="7">
        <v>5</v>
      </c>
      <c r="E207" s="56" t="s">
        <v>8</v>
      </c>
      <c r="F207" s="52">
        <v>0</v>
      </c>
    </row>
    <row r="208" spans="1:6" x14ac:dyDescent="0.2">
      <c r="A208" s="49" t="s">
        <v>1149</v>
      </c>
      <c r="B208" s="52">
        <v>207</v>
      </c>
      <c r="C208" s="8" t="s">
        <v>209</v>
      </c>
      <c r="D208" s="7">
        <v>3</v>
      </c>
      <c r="E208" s="56" t="s">
        <v>20</v>
      </c>
      <c r="F208" s="52">
        <v>0</v>
      </c>
    </row>
    <row r="209" spans="1:6" x14ac:dyDescent="0.2">
      <c r="A209" s="49" t="s">
        <v>1149</v>
      </c>
      <c r="B209" s="52">
        <v>208</v>
      </c>
      <c r="C209" s="8" t="s">
        <v>210</v>
      </c>
      <c r="D209" s="7">
        <v>5</v>
      </c>
      <c r="E209" s="56" t="s">
        <v>8</v>
      </c>
      <c r="F209" s="52">
        <v>0</v>
      </c>
    </row>
    <row r="210" spans="1:6" x14ac:dyDescent="0.2">
      <c r="A210" s="49" t="s">
        <v>1149</v>
      </c>
      <c r="B210" s="52">
        <v>209</v>
      </c>
      <c r="C210" s="8" t="s">
        <v>211</v>
      </c>
      <c r="D210" s="7">
        <v>5</v>
      </c>
      <c r="E210" s="56" t="s">
        <v>31</v>
      </c>
      <c r="F210" s="52">
        <v>0</v>
      </c>
    </row>
    <row r="211" spans="1:6" x14ac:dyDescent="0.2">
      <c r="A211" s="49" t="s">
        <v>1149</v>
      </c>
      <c r="B211" s="52">
        <v>210</v>
      </c>
      <c r="C211" s="8" t="s">
        <v>212</v>
      </c>
      <c r="D211" s="7">
        <v>1</v>
      </c>
      <c r="E211" s="56" t="s">
        <v>19</v>
      </c>
      <c r="F211" s="52">
        <v>0</v>
      </c>
    </row>
    <row r="212" spans="1:6" x14ac:dyDescent="0.2">
      <c r="A212" s="49" t="s">
        <v>1149</v>
      </c>
      <c r="B212" s="52">
        <v>211</v>
      </c>
      <c r="C212" s="8" t="s">
        <v>213</v>
      </c>
      <c r="D212" s="7">
        <v>5</v>
      </c>
      <c r="E212" s="56" t="s">
        <v>8</v>
      </c>
      <c r="F212" s="52">
        <v>0</v>
      </c>
    </row>
    <row r="213" spans="1:6" x14ac:dyDescent="0.2">
      <c r="A213" s="49" t="s">
        <v>1149</v>
      </c>
      <c r="B213" s="52">
        <v>212</v>
      </c>
      <c r="C213" s="8" t="s">
        <v>214</v>
      </c>
      <c r="D213" s="7">
        <v>5</v>
      </c>
      <c r="E213" s="56" t="s">
        <v>31</v>
      </c>
      <c r="F213" s="52">
        <v>0</v>
      </c>
    </row>
    <row r="214" spans="1:6" x14ac:dyDescent="0.2">
      <c r="A214" s="49" t="s">
        <v>1149</v>
      </c>
      <c r="B214" s="52">
        <v>213</v>
      </c>
      <c r="C214" s="8" t="s">
        <v>215</v>
      </c>
      <c r="D214" s="7">
        <v>3</v>
      </c>
      <c r="E214" s="56" t="s">
        <v>20</v>
      </c>
      <c r="F214" s="52">
        <v>0</v>
      </c>
    </row>
    <row r="215" spans="1:6" x14ac:dyDescent="0.2">
      <c r="A215" s="49" t="s">
        <v>1149</v>
      </c>
      <c r="B215" s="52">
        <v>214</v>
      </c>
      <c r="C215" s="8" t="s">
        <v>216</v>
      </c>
      <c r="D215" s="7">
        <v>5</v>
      </c>
      <c r="E215" s="56" t="s">
        <v>8</v>
      </c>
      <c r="F215" s="52">
        <v>0</v>
      </c>
    </row>
    <row r="216" spans="1:6" x14ac:dyDescent="0.2">
      <c r="A216" s="49" t="s">
        <v>1149</v>
      </c>
      <c r="B216" s="52">
        <v>215</v>
      </c>
      <c r="C216" s="8" t="s">
        <v>217</v>
      </c>
      <c r="D216" s="7">
        <v>5</v>
      </c>
      <c r="E216" s="56" t="s">
        <v>8</v>
      </c>
      <c r="F216" s="52">
        <v>0</v>
      </c>
    </row>
    <row r="217" spans="1:6" x14ac:dyDescent="0.2">
      <c r="A217" s="49" t="s">
        <v>1149</v>
      </c>
      <c r="B217" s="52">
        <v>216</v>
      </c>
      <c r="C217" s="8" t="s">
        <v>218</v>
      </c>
      <c r="D217" s="7">
        <v>1</v>
      </c>
      <c r="E217" s="56" t="s">
        <v>19</v>
      </c>
      <c r="F217" s="52">
        <v>0</v>
      </c>
    </row>
    <row r="218" spans="1:6" x14ac:dyDescent="0.2">
      <c r="A218" s="49" t="s">
        <v>1149</v>
      </c>
      <c r="B218" s="52">
        <v>217</v>
      </c>
      <c r="C218" s="8" t="s">
        <v>219</v>
      </c>
      <c r="D218" s="7">
        <v>3</v>
      </c>
      <c r="E218" s="56" t="s">
        <v>20</v>
      </c>
      <c r="F218" s="52">
        <v>0</v>
      </c>
    </row>
    <row r="219" spans="1:6" x14ac:dyDescent="0.2">
      <c r="A219" s="49" t="s">
        <v>1149</v>
      </c>
      <c r="B219" s="52">
        <v>218</v>
      </c>
      <c r="C219" s="8" t="s">
        <v>220</v>
      </c>
      <c r="D219" s="7">
        <v>5</v>
      </c>
      <c r="E219" s="56" t="s">
        <v>109</v>
      </c>
      <c r="F219" s="52">
        <v>1</v>
      </c>
    </row>
    <row r="220" spans="1:6" x14ac:dyDescent="0.2">
      <c r="A220" s="49" t="s">
        <v>1149</v>
      </c>
      <c r="B220" s="52">
        <v>219</v>
      </c>
      <c r="C220" s="8" t="s">
        <v>221</v>
      </c>
      <c r="D220" s="7">
        <v>1</v>
      </c>
      <c r="E220" s="56" t="s">
        <v>19</v>
      </c>
      <c r="F220" s="52">
        <v>0</v>
      </c>
    </row>
    <row r="221" spans="1:6" x14ac:dyDescent="0.2">
      <c r="A221" s="49" t="s">
        <v>1149</v>
      </c>
      <c r="B221" s="52">
        <v>220</v>
      </c>
      <c r="C221" s="8" t="s">
        <v>222</v>
      </c>
      <c r="D221" s="7">
        <v>5</v>
      </c>
      <c r="E221" s="56" t="s">
        <v>8</v>
      </c>
      <c r="F221" s="52">
        <v>0</v>
      </c>
    </row>
    <row r="222" spans="1:6" x14ac:dyDescent="0.2">
      <c r="A222" s="49" t="s">
        <v>1149</v>
      </c>
      <c r="B222" s="52">
        <v>221</v>
      </c>
      <c r="C222" s="8" t="s">
        <v>223</v>
      </c>
      <c r="D222" s="7">
        <v>5</v>
      </c>
      <c r="E222" s="56" t="s">
        <v>8</v>
      </c>
      <c r="F222" s="52">
        <v>0</v>
      </c>
    </row>
    <row r="223" spans="1:6" x14ac:dyDescent="0.2">
      <c r="A223" s="49" t="s">
        <v>1149</v>
      </c>
      <c r="B223" s="52">
        <v>222</v>
      </c>
      <c r="C223" s="8" t="s">
        <v>224</v>
      </c>
      <c r="D223" s="7">
        <v>5</v>
      </c>
      <c r="E223" s="56" t="s">
        <v>8</v>
      </c>
      <c r="F223" s="52">
        <v>0</v>
      </c>
    </row>
    <row r="224" spans="1:6" x14ac:dyDescent="0.2">
      <c r="A224" s="49" t="s">
        <v>1149</v>
      </c>
      <c r="B224" s="52">
        <v>223</v>
      </c>
      <c r="C224" s="8" t="s">
        <v>225</v>
      </c>
      <c r="D224" s="7">
        <v>3</v>
      </c>
      <c r="E224" s="56" t="s">
        <v>20</v>
      </c>
      <c r="F224" s="52">
        <v>0</v>
      </c>
    </row>
    <row r="225" spans="1:6" x14ac:dyDescent="0.2">
      <c r="A225" s="49" t="s">
        <v>1149</v>
      </c>
      <c r="B225" s="52">
        <v>224</v>
      </c>
      <c r="C225" s="8" t="s">
        <v>226</v>
      </c>
      <c r="D225" s="7">
        <v>5</v>
      </c>
      <c r="E225" s="56" t="s">
        <v>8</v>
      </c>
      <c r="F225" s="52">
        <v>0</v>
      </c>
    </row>
    <row r="226" spans="1:6" x14ac:dyDescent="0.2">
      <c r="A226" s="49" t="s">
        <v>1149</v>
      </c>
      <c r="B226" s="52">
        <v>225</v>
      </c>
      <c r="C226" s="8" t="s">
        <v>227</v>
      </c>
      <c r="D226" s="7">
        <v>5</v>
      </c>
      <c r="E226" s="56" t="s">
        <v>8</v>
      </c>
      <c r="F226" s="52">
        <v>0</v>
      </c>
    </row>
    <row r="227" spans="1:6" x14ac:dyDescent="0.2">
      <c r="A227" s="49" t="s">
        <v>1149</v>
      </c>
      <c r="B227" s="52">
        <v>226</v>
      </c>
      <c r="C227" s="8" t="s">
        <v>228</v>
      </c>
      <c r="D227" s="7">
        <v>3</v>
      </c>
      <c r="E227" s="56" t="s">
        <v>20</v>
      </c>
      <c r="F227" s="52">
        <v>0</v>
      </c>
    </row>
    <row r="228" spans="1:6" x14ac:dyDescent="0.2">
      <c r="A228" s="49" t="s">
        <v>1149</v>
      </c>
      <c r="B228" s="52">
        <v>227</v>
      </c>
      <c r="C228" s="8" t="s">
        <v>229</v>
      </c>
      <c r="D228" s="7">
        <v>5</v>
      </c>
      <c r="E228" s="56" t="s">
        <v>8</v>
      </c>
      <c r="F228" s="52">
        <v>0</v>
      </c>
    </row>
    <row r="229" spans="1:6" x14ac:dyDescent="0.2">
      <c r="A229" s="49" t="s">
        <v>1149</v>
      </c>
      <c r="B229" s="52">
        <v>228</v>
      </c>
      <c r="C229" s="8" t="s">
        <v>230</v>
      </c>
      <c r="D229" s="7">
        <v>5</v>
      </c>
      <c r="E229" s="56" t="s">
        <v>8</v>
      </c>
      <c r="F229" s="52">
        <v>0</v>
      </c>
    </row>
    <row r="230" spans="1:6" x14ac:dyDescent="0.2">
      <c r="A230" s="49" t="s">
        <v>1149</v>
      </c>
      <c r="B230" s="52">
        <v>229</v>
      </c>
      <c r="C230" s="8" t="s">
        <v>231</v>
      </c>
      <c r="D230" s="7">
        <v>5</v>
      </c>
      <c r="E230" s="56" t="s">
        <v>8</v>
      </c>
      <c r="F230" s="52">
        <v>0</v>
      </c>
    </row>
    <row r="231" spans="1:6" x14ac:dyDescent="0.2">
      <c r="A231" s="49" t="s">
        <v>1149</v>
      </c>
      <c r="B231" s="52">
        <v>230</v>
      </c>
      <c r="C231" s="8" t="s">
        <v>232</v>
      </c>
      <c r="D231" s="7">
        <v>5</v>
      </c>
      <c r="E231" s="56" t="s">
        <v>8</v>
      </c>
      <c r="F231" s="52">
        <v>0</v>
      </c>
    </row>
    <row r="232" spans="1:6" x14ac:dyDescent="0.2">
      <c r="A232" s="49" t="s">
        <v>1149</v>
      </c>
      <c r="B232" s="52">
        <v>231</v>
      </c>
      <c r="C232" s="8" t="s">
        <v>233</v>
      </c>
      <c r="D232" s="7">
        <v>5</v>
      </c>
      <c r="E232" s="56" t="s">
        <v>8</v>
      </c>
      <c r="F232" s="52">
        <v>0</v>
      </c>
    </row>
    <row r="233" spans="1:6" x14ac:dyDescent="0.2">
      <c r="A233" s="49" t="s">
        <v>1149</v>
      </c>
      <c r="B233" s="52">
        <v>232</v>
      </c>
      <c r="C233" s="8" t="s">
        <v>234</v>
      </c>
      <c r="D233" s="7">
        <v>5</v>
      </c>
      <c r="E233" s="56" t="s">
        <v>8</v>
      </c>
      <c r="F233" s="52">
        <v>0</v>
      </c>
    </row>
    <row r="234" spans="1:6" x14ac:dyDescent="0.2">
      <c r="A234" s="49" t="s">
        <v>1149</v>
      </c>
      <c r="B234" s="52">
        <v>233</v>
      </c>
      <c r="C234" s="8" t="s">
        <v>235</v>
      </c>
      <c r="D234" s="7">
        <v>5</v>
      </c>
      <c r="E234" s="56" t="s">
        <v>8</v>
      </c>
      <c r="F234" s="52">
        <v>0</v>
      </c>
    </row>
    <row r="235" spans="1:6" x14ac:dyDescent="0.2">
      <c r="A235" s="49" t="s">
        <v>1149</v>
      </c>
      <c r="B235" s="52">
        <v>234</v>
      </c>
      <c r="C235" s="8" t="s">
        <v>236</v>
      </c>
      <c r="D235" s="7">
        <v>5</v>
      </c>
      <c r="E235" s="56" t="s">
        <v>8</v>
      </c>
      <c r="F235" s="52">
        <v>0</v>
      </c>
    </row>
    <row r="236" spans="1:6" x14ac:dyDescent="0.2">
      <c r="A236" s="49" t="s">
        <v>1149</v>
      </c>
      <c r="B236" s="52">
        <v>235</v>
      </c>
      <c r="C236" s="8" t="s">
        <v>1575</v>
      </c>
      <c r="D236" s="7">
        <v>5</v>
      </c>
      <c r="E236" s="56" t="s">
        <v>109</v>
      </c>
      <c r="F236" s="52">
        <v>1</v>
      </c>
    </row>
    <row r="237" spans="1:6" x14ac:dyDescent="0.2">
      <c r="A237" s="49" t="s">
        <v>1149</v>
      </c>
      <c r="B237" s="52">
        <v>236</v>
      </c>
      <c r="C237" s="8" t="s">
        <v>237</v>
      </c>
      <c r="D237" s="7">
        <v>5</v>
      </c>
      <c r="E237" s="56" t="s">
        <v>8</v>
      </c>
      <c r="F237" s="52">
        <v>0</v>
      </c>
    </row>
    <row r="238" spans="1:6" x14ac:dyDescent="0.2">
      <c r="A238" s="49" t="s">
        <v>1149</v>
      </c>
      <c r="B238" s="52">
        <v>237</v>
      </c>
      <c r="C238" s="8" t="s">
        <v>238</v>
      </c>
      <c r="D238" s="7">
        <v>1</v>
      </c>
      <c r="E238" s="56" t="s">
        <v>19</v>
      </c>
      <c r="F238" s="52">
        <v>0</v>
      </c>
    </row>
    <row r="239" spans="1:6" x14ac:dyDescent="0.2">
      <c r="A239" s="49" t="s">
        <v>1149</v>
      </c>
      <c r="B239" s="52">
        <v>238</v>
      </c>
      <c r="C239" s="8" t="s">
        <v>239</v>
      </c>
      <c r="D239" s="7">
        <v>5</v>
      </c>
      <c r="E239" s="56" t="s">
        <v>8</v>
      </c>
      <c r="F239" s="52">
        <v>0</v>
      </c>
    </row>
    <row r="240" spans="1:6" x14ac:dyDescent="0.2">
      <c r="A240" s="49" t="s">
        <v>1149</v>
      </c>
      <c r="B240" s="52">
        <v>239</v>
      </c>
      <c r="C240" s="8" t="s">
        <v>240</v>
      </c>
      <c r="D240" s="7">
        <v>1</v>
      </c>
      <c r="E240" s="56" t="s">
        <v>19</v>
      </c>
      <c r="F240" s="52">
        <v>0</v>
      </c>
    </row>
    <row r="241" spans="1:6" x14ac:dyDescent="0.2">
      <c r="A241" s="49" t="s">
        <v>1149</v>
      </c>
      <c r="B241" s="52">
        <v>240</v>
      </c>
      <c r="C241" s="8" t="s">
        <v>241</v>
      </c>
      <c r="D241" s="7">
        <v>1</v>
      </c>
      <c r="E241" s="56" t="s">
        <v>19</v>
      </c>
      <c r="F241" s="52">
        <v>0</v>
      </c>
    </row>
    <row r="242" spans="1:6" x14ac:dyDescent="0.2">
      <c r="A242" s="49" t="s">
        <v>1149</v>
      </c>
      <c r="B242" s="52">
        <v>241</v>
      </c>
      <c r="C242" s="8" t="s">
        <v>242</v>
      </c>
      <c r="D242" s="7">
        <v>5</v>
      </c>
      <c r="E242" s="56" t="s">
        <v>8</v>
      </c>
      <c r="F242" s="52">
        <v>0</v>
      </c>
    </row>
    <row r="243" spans="1:6" x14ac:dyDescent="0.2">
      <c r="A243" s="49" t="s">
        <v>1149</v>
      </c>
      <c r="B243" s="52">
        <v>242</v>
      </c>
      <c r="C243" s="8" t="s">
        <v>243</v>
      </c>
      <c r="D243" s="7">
        <v>5</v>
      </c>
      <c r="E243" s="56" t="s">
        <v>8</v>
      </c>
      <c r="F243" s="52">
        <v>0</v>
      </c>
    </row>
    <row r="244" spans="1:6" x14ac:dyDescent="0.2">
      <c r="A244" s="49" t="s">
        <v>1149</v>
      </c>
      <c r="B244" s="52">
        <v>243</v>
      </c>
      <c r="C244" s="8" t="s">
        <v>244</v>
      </c>
      <c r="D244" s="7">
        <v>5</v>
      </c>
      <c r="E244" s="56" t="s">
        <v>31</v>
      </c>
      <c r="F244" s="52">
        <v>0</v>
      </c>
    </row>
    <row r="245" spans="1:6" x14ac:dyDescent="0.2">
      <c r="A245" s="49" t="s">
        <v>1149</v>
      </c>
      <c r="B245" s="52">
        <v>244</v>
      </c>
      <c r="C245" s="8" t="s">
        <v>245</v>
      </c>
      <c r="D245" s="7">
        <v>5</v>
      </c>
      <c r="E245" s="56" t="s">
        <v>8</v>
      </c>
      <c r="F245" s="52">
        <v>0</v>
      </c>
    </row>
    <row r="246" spans="1:6" x14ac:dyDescent="0.2">
      <c r="A246" s="49" t="s">
        <v>1149</v>
      </c>
      <c r="B246" s="52">
        <v>245</v>
      </c>
      <c r="C246" s="8" t="s">
        <v>246</v>
      </c>
      <c r="D246" s="7">
        <v>5</v>
      </c>
      <c r="E246" s="56" t="s">
        <v>8</v>
      </c>
      <c r="F246" s="52">
        <v>0</v>
      </c>
    </row>
    <row r="247" spans="1:6" x14ac:dyDescent="0.2">
      <c r="A247" s="49" t="s">
        <v>1149</v>
      </c>
      <c r="B247" s="52">
        <v>246</v>
      </c>
      <c r="C247" s="8" t="s">
        <v>247</v>
      </c>
      <c r="D247" s="7">
        <v>5</v>
      </c>
      <c r="E247" s="56" t="s">
        <v>8</v>
      </c>
      <c r="F247" s="52">
        <v>0</v>
      </c>
    </row>
    <row r="248" spans="1:6" x14ac:dyDescent="0.2">
      <c r="A248" s="49" t="s">
        <v>1149</v>
      </c>
      <c r="B248" s="52">
        <v>247</v>
      </c>
      <c r="C248" s="8" t="s">
        <v>248</v>
      </c>
      <c r="D248" s="7">
        <v>5</v>
      </c>
      <c r="E248" s="56" t="s">
        <v>8</v>
      </c>
      <c r="F248" s="52">
        <v>0</v>
      </c>
    </row>
    <row r="249" spans="1:6" x14ac:dyDescent="0.2">
      <c r="A249" s="49" t="s">
        <v>1149</v>
      </c>
      <c r="B249" s="52">
        <v>248</v>
      </c>
      <c r="C249" s="8" t="s">
        <v>249</v>
      </c>
      <c r="D249" s="7">
        <v>5</v>
      </c>
      <c r="E249" s="56" t="s">
        <v>8</v>
      </c>
      <c r="F249" s="52">
        <v>0</v>
      </c>
    </row>
    <row r="250" spans="1:6" x14ac:dyDescent="0.2">
      <c r="A250" s="49" t="s">
        <v>1149</v>
      </c>
      <c r="B250" s="52">
        <v>249</v>
      </c>
      <c r="C250" s="8" t="s">
        <v>250</v>
      </c>
      <c r="D250" s="7">
        <v>5</v>
      </c>
      <c r="E250" s="56" t="s">
        <v>8</v>
      </c>
      <c r="F250" s="52">
        <v>0</v>
      </c>
    </row>
    <row r="251" spans="1:6" x14ac:dyDescent="0.2">
      <c r="A251" s="49" t="s">
        <v>1149</v>
      </c>
      <c r="B251" s="52">
        <v>250</v>
      </c>
      <c r="C251" s="8" t="s">
        <v>251</v>
      </c>
      <c r="D251" s="7">
        <v>5</v>
      </c>
      <c r="E251" s="56" t="s">
        <v>8</v>
      </c>
      <c r="F251" s="52">
        <v>0</v>
      </c>
    </row>
    <row r="252" spans="1:6" x14ac:dyDescent="0.2">
      <c r="A252" s="49" t="s">
        <v>1149</v>
      </c>
      <c r="B252" s="52">
        <v>251</v>
      </c>
      <c r="C252" s="8" t="s">
        <v>252</v>
      </c>
      <c r="D252" s="7">
        <v>5</v>
      </c>
      <c r="E252" s="56" t="s">
        <v>8</v>
      </c>
      <c r="F252" s="52">
        <v>0</v>
      </c>
    </row>
    <row r="253" spans="1:6" x14ac:dyDescent="0.2">
      <c r="A253" s="49" t="s">
        <v>1149</v>
      </c>
      <c r="B253" s="52">
        <v>252</v>
      </c>
      <c r="C253" s="9" t="s">
        <v>253</v>
      </c>
      <c r="D253" s="7">
        <v>5</v>
      </c>
      <c r="E253" s="49"/>
      <c r="F253" s="52">
        <v>0</v>
      </c>
    </row>
    <row r="254" spans="1:6" x14ac:dyDescent="0.2">
      <c r="A254" s="49" t="s">
        <v>1149</v>
      </c>
      <c r="B254" s="52">
        <v>253</v>
      </c>
      <c r="C254" s="9" t="s">
        <v>254</v>
      </c>
      <c r="D254" s="7">
        <v>5</v>
      </c>
      <c r="E254" s="49"/>
      <c r="F254" s="52">
        <v>0</v>
      </c>
    </row>
  </sheetData>
  <conditionalFormatting sqref="E2:E252">
    <cfRule type="expression" dxfId="1" priority="1">
      <formula>AND($V1&lt;&gt;"P",$V1&lt;&gt;"HR",$V1&lt;&gt;"H")</formula>
    </cfRule>
    <cfRule type="expression" dxfId="0" priority="2">
      <formula>OR($V1="P",$V1="HR",$V1="H")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D78D-79CF-4530-8082-B84B45A4682D}">
  <dimension ref="A1:E27"/>
  <sheetViews>
    <sheetView workbookViewId="0">
      <selection activeCell="B1" sqref="B1"/>
    </sheetView>
  </sheetViews>
  <sheetFormatPr defaultColWidth="10.76171875" defaultRowHeight="15" x14ac:dyDescent="0.2"/>
  <cols>
    <col min="2" max="2" width="30.1328125" customWidth="1"/>
    <col min="4" max="4" width="12.64453125" bestFit="1" customWidth="1"/>
    <col min="5" max="5" width="11.703125" bestFit="1" customWidth="1"/>
  </cols>
  <sheetData>
    <row r="1" spans="1:5" x14ac:dyDescent="0.2">
      <c r="A1" s="2" t="s">
        <v>1116</v>
      </c>
      <c r="B1" s="2" t="s">
        <v>1136</v>
      </c>
      <c r="C1" s="2" t="s">
        <v>1589</v>
      </c>
      <c r="D1" s="2" t="s">
        <v>1148</v>
      </c>
      <c r="E1" s="2" t="s">
        <v>1573</v>
      </c>
    </row>
    <row r="2" spans="1:5" x14ac:dyDescent="0.2">
      <c r="A2" s="46" t="s">
        <v>1149</v>
      </c>
      <c r="B2" s="46" t="s">
        <v>1590</v>
      </c>
      <c r="C2" s="46">
        <v>10101</v>
      </c>
      <c r="D2" s="46">
        <v>3</v>
      </c>
      <c r="E2" s="46" t="s">
        <v>1591</v>
      </c>
    </row>
    <row r="3" spans="1:5" x14ac:dyDescent="0.2">
      <c r="A3" s="46" t="s">
        <v>1149</v>
      </c>
      <c r="B3" s="46" t="s">
        <v>1592</v>
      </c>
      <c r="C3" s="46">
        <v>20101</v>
      </c>
      <c r="D3" s="46">
        <v>3</v>
      </c>
      <c r="E3" s="46" t="s">
        <v>1591</v>
      </c>
    </row>
    <row r="4" spans="1:5" x14ac:dyDescent="0.2">
      <c r="A4" s="46" t="s">
        <v>1149</v>
      </c>
      <c r="B4" s="46" t="s">
        <v>1593</v>
      </c>
      <c r="C4" s="46">
        <v>30101</v>
      </c>
      <c r="D4" s="46">
        <v>3</v>
      </c>
      <c r="E4" s="46" t="s">
        <v>1591</v>
      </c>
    </row>
    <row r="5" spans="1:5" x14ac:dyDescent="0.2">
      <c r="A5" s="46" t="s">
        <v>1149</v>
      </c>
      <c r="B5" s="46" t="s">
        <v>1594</v>
      </c>
      <c r="C5" s="46">
        <v>40101</v>
      </c>
      <c r="D5" s="46">
        <v>4</v>
      </c>
      <c r="E5" s="46" t="s">
        <v>1595</v>
      </c>
    </row>
    <row r="6" spans="1:5" x14ac:dyDescent="0.2">
      <c r="A6" s="46" t="s">
        <v>1149</v>
      </c>
      <c r="B6" s="46" t="s">
        <v>1596</v>
      </c>
      <c r="C6" s="46">
        <v>50101</v>
      </c>
      <c r="D6" s="46">
        <v>5</v>
      </c>
      <c r="E6" s="46" t="s">
        <v>1597</v>
      </c>
    </row>
    <row r="7" spans="1:5" x14ac:dyDescent="0.2">
      <c r="A7" s="46" t="s">
        <v>1149</v>
      </c>
      <c r="B7" s="46" t="s">
        <v>1598</v>
      </c>
      <c r="C7" s="46">
        <v>60101</v>
      </c>
      <c r="D7" s="46">
        <v>1</v>
      </c>
      <c r="E7" s="46" t="s">
        <v>1599</v>
      </c>
    </row>
    <row r="8" spans="1:5" x14ac:dyDescent="0.2">
      <c r="A8" s="46" t="s">
        <v>1149</v>
      </c>
      <c r="B8" s="46" t="s">
        <v>1600</v>
      </c>
      <c r="C8" s="46">
        <v>70101</v>
      </c>
      <c r="D8" s="46">
        <v>4</v>
      </c>
      <c r="E8" s="46" t="s">
        <v>1595</v>
      </c>
    </row>
    <row r="9" spans="1:5" x14ac:dyDescent="0.2">
      <c r="A9" s="46" t="s">
        <v>1149</v>
      </c>
      <c r="B9" s="46" t="s">
        <v>1601</v>
      </c>
      <c r="C9" s="46">
        <v>80101</v>
      </c>
      <c r="D9" s="46">
        <v>4</v>
      </c>
      <c r="E9" s="46" t="s">
        <v>1595</v>
      </c>
    </row>
    <row r="10" spans="1:5" x14ac:dyDescent="0.2">
      <c r="A10" s="46" t="s">
        <v>1149</v>
      </c>
      <c r="B10" s="46" t="s">
        <v>1602</v>
      </c>
      <c r="C10" s="46">
        <v>90101</v>
      </c>
      <c r="D10" s="46">
        <v>3</v>
      </c>
      <c r="E10" s="46" t="s">
        <v>1591</v>
      </c>
    </row>
    <row r="11" spans="1:5" x14ac:dyDescent="0.2">
      <c r="A11" s="46" t="s">
        <v>1149</v>
      </c>
      <c r="B11" s="46" t="s">
        <v>1603</v>
      </c>
      <c r="C11" s="46">
        <v>100101</v>
      </c>
      <c r="D11" s="46">
        <v>3</v>
      </c>
      <c r="E11" s="46" t="s">
        <v>1591</v>
      </c>
    </row>
    <row r="12" spans="1:5" x14ac:dyDescent="0.2">
      <c r="A12" s="46" t="s">
        <v>1149</v>
      </c>
      <c r="B12" s="46" t="s">
        <v>1604</v>
      </c>
      <c r="C12" s="46">
        <v>110101</v>
      </c>
      <c r="D12" s="46">
        <v>2</v>
      </c>
      <c r="E12" s="46" t="s">
        <v>1605</v>
      </c>
    </row>
    <row r="13" spans="1:5" x14ac:dyDescent="0.2">
      <c r="A13" s="46" t="s">
        <v>1149</v>
      </c>
      <c r="B13" s="46" t="s">
        <v>1606</v>
      </c>
      <c r="C13" s="46">
        <v>120101</v>
      </c>
      <c r="D13" s="46">
        <v>5</v>
      </c>
      <c r="E13" s="46" t="s">
        <v>1597</v>
      </c>
    </row>
    <row r="14" spans="1:5" x14ac:dyDescent="0.2">
      <c r="A14" s="46" t="s">
        <v>1149</v>
      </c>
      <c r="B14" s="46" t="s">
        <v>1607</v>
      </c>
      <c r="C14" s="46">
        <v>130101</v>
      </c>
      <c r="D14" s="46">
        <v>4</v>
      </c>
      <c r="E14" s="46" t="s">
        <v>1595</v>
      </c>
    </row>
    <row r="15" spans="1:5" x14ac:dyDescent="0.2">
      <c r="A15" s="46" t="s">
        <v>1149</v>
      </c>
      <c r="B15" s="46" t="s">
        <v>1608</v>
      </c>
      <c r="C15" s="46">
        <v>140101</v>
      </c>
      <c r="D15" s="46">
        <v>2</v>
      </c>
      <c r="E15" s="46" t="s">
        <v>1605</v>
      </c>
    </row>
    <row r="16" spans="1:5" x14ac:dyDescent="0.2">
      <c r="A16" s="46" t="s">
        <v>1149</v>
      </c>
      <c r="B16" s="46" t="s">
        <v>1609</v>
      </c>
      <c r="C16" s="46">
        <v>150101</v>
      </c>
      <c r="D16" s="46">
        <v>4</v>
      </c>
      <c r="E16" s="46" t="s">
        <v>1595</v>
      </c>
    </row>
    <row r="17" spans="1:5" x14ac:dyDescent="0.2">
      <c r="A17" s="46" t="s">
        <v>1149</v>
      </c>
      <c r="B17" s="46" t="s">
        <v>1610</v>
      </c>
      <c r="C17" s="46">
        <v>160101</v>
      </c>
      <c r="D17" s="46">
        <v>1</v>
      </c>
      <c r="E17" s="46" t="s">
        <v>1599</v>
      </c>
    </row>
    <row r="18" spans="1:5" x14ac:dyDescent="0.2">
      <c r="A18" s="46" t="s">
        <v>1149</v>
      </c>
      <c r="B18" s="46" t="s">
        <v>1611</v>
      </c>
      <c r="C18" s="46">
        <v>170101</v>
      </c>
      <c r="D18" s="46">
        <v>4</v>
      </c>
      <c r="E18" s="46" t="s">
        <v>1595</v>
      </c>
    </row>
    <row r="19" spans="1:5" x14ac:dyDescent="0.2">
      <c r="A19" s="46" t="s">
        <v>1149</v>
      </c>
      <c r="B19" s="46" t="s">
        <v>1612</v>
      </c>
      <c r="C19" s="46">
        <v>180101</v>
      </c>
      <c r="D19" s="46">
        <v>3</v>
      </c>
      <c r="E19" s="46" t="s">
        <v>1591</v>
      </c>
    </row>
    <row r="20" spans="1:5" x14ac:dyDescent="0.2">
      <c r="A20" s="46" t="s">
        <v>1149</v>
      </c>
      <c r="B20" s="46" t="s">
        <v>1613</v>
      </c>
      <c r="C20" s="46">
        <v>190101</v>
      </c>
      <c r="D20" s="46">
        <v>1</v>
      </c>
      <c r="E20" s="46" t="s">
        <v>1599</v>
      </c>
    </row>
    <row r="21" spans="1:5" x14ac:dyDescent="0.2">
      <c r="A21" s="46" t="s">
        <v>1149</v>
      </c>
      <c r="B21" s="46" t="s">
        <v>1614</v>
      </c>
      <c r="C21" s="46">
        <v>200101</v>
      </c>
      <c r="D21" s="46">
        <v>4</v>
      </c>
      <c r="E21" s="46" t="s">
        <v>1595</v>
      </c>
    </row>
    <row r="22" spans="1:5" x14ac:dyDescent="0.2">
      <c r="A22" s="46" t="s">
        <v>1149</v>
      </c>
      <c r="B22" s="46" t="s">
        <v>1615</v>
      </c>
      <c r="C22" s="46">
        <v>210101</v>
      </c>
      <c r="D22" s="46">
        <v>4</v>
      </c>
      <c r="E22" s="46" t="s">
        <v>1595</v>
      </c>
    </row>
    <row r="23" spans="1:5" x14ac:dyDescent="0.2">
      <c r="A23" s="46" t="s">
        <v>1149</v>
      </c>
      <c r="B23" s="46" t="s">
        <v>1616</v>
      </c>
      <c r="C23" s="46">
        <v>220101</v>
      </c>
      <c r="D23" s="46">
        <v>2</v>
      </c>
      <c r="E23" s="46" t="s">
        <v>1605</v>
      </c>
    </row>
    <row r="24" spans="1:5" x14ac:dyDescent="0.2">
      <c r="A24" s="46" t="s">
        <v>1149</v>
      </c>
      <c r="B24" s="46" t="s">
        <v>1617</v>
      </c>
      <c r="C24" s="46">
        <v>230101</v>
      </c>
      <c r="D24" s="46">
        <v>4</v>
      </c>
      <c r="E24" s="46" t="s">
        <v>1595</v>
      </c>
    </row>
    <row r="25" spans="1:5" x14ac:dyDescent="0.2">
      <c r="A25" s="46" t="s">
        <v>1149</v>
      </c>
      <c r="B25" s="46" t="s">
        <v>1618</v>
      </c>
      <c r="C25" s="46">
        <v>240101</v>
      </c>
      <c r="D25" s="46">
        <v>3</v>
      </c>
      <c r="E25" s="46" t="s">
        <v>1591</v>
      </c>
    </row>
    <row r="26" spans="1:5" x14ac:dyDescent="0.2">
      <c r="A26" s="46" t="s">
        <v>1149</v>
      </c>
      <c r="B26" s="46" t="s">
        <v>1619</v>
      </c>
      <c r="C26" s="46">
        <v>250101</v>
      </c>
      <c r="D26" s="46">
        <v>2</v>
      </c>
      <c r="E26" s="46" t="s">
        <v>1605</v>
      </c>
    </row>
    <row r="27" spans="1:5" x14ac:dyDescent="0.2">
      <c r="A27" s="46" t="s">
        <v>1149</v>
      </c>
      <c r="B27" s="46" t="s">
        <v>1620</v>
      </c>
      <c r="C27" s="46">
        <v>0</v>
      </c>
      <c r="D27" s="46">
        <v>5</v>
      </c>
      <c r="E27" s="46" t="s">
        <v>1597</v>
      </c>
    </row>
  </sheetData>
  <autoFilter ref="A1:E27" xr:uid="{3543D78D-79CF-4530-8082-B84B45A4682D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7DB8-9E1F-44E6-AF0A-6322DB0E62A1}">
  <dimension ref="A1:E8"/>
  <sheetViews>
    <sheetView workbookViewId="0">
      <selection activeCell="E2" sqref="E2"/>
    </sheetView>
  </sheetViews>
  <sheetFormatPr defaultColWidth="10.76171875" defaultRowHeight="15" x14ac:dyDescent="0.2"/>
  <cols>
    <col min="2" max="2" width="20.4453125" customWidth="1"/>
    <col min="3" max="3" width="50.84765625" bestFit="1" customWidth="1"/>
    <col min="5" max="5" width="14.796875" customWidth="1"/>
  </cols>
  <sheetData>
    <row r="1" spans="1:5" x14ac:dyDescent="0.2">
      <c r="A1" s="2" t="s">
        <v>1116</v>
      </c>
      <c r="B1" s="2" t="s">
        <v>1642</v>
      </c>
      <c r="C1" s="2" t="s">
        <v>1139</v>
      </c>
      <c r="D1" s="2" t="s">
        <v>1148</v>
      </c>
      <c r="E1" s="2" t="s">
        <v>1588</v>
      </c>
    </row>
    <row r="2" spans="1:5" x14ac:dyDescent="0.2">
      <c r="A2" s="52" t="s">
        <v>1138</v>
      </c>
      <c r="B2" s="57">
        <v>1</v>
      </c>
      <c r="C2" s="58" t="s">
        <v>1643</v>
      </c>
      <c r="D2" s="52">
        <v>3</v>
      </c>
      <c r="E2" s="52">
        <v>0</v>
      </c>
    </row>
    <row r="3" spans="1:5" x14ac:dyDescent="0.2">
      <c r="A3" s="52" t="s">
        <v>1138</v>
      </c>
      <c r="B3" s="57">
        <v>2</v>
      </c>
      <c r="C3" s="58" t="s">
        <v>1644</v>
      </c>
      <c r="D3" s="52">
        <v>1</v>
      </c>
      <c r="E3" s="52">
        <v>0</v>
      </c>
    </row>
    <row r="4" spans="1:5" x14ac:dyDescent="0.2">
      <c r="A4" s="52" t="s">
        <v>1138</v>
      </c>
      <c r="B4" s="57">
        <v>3</v>
      </c>
      <c r="C4" s="58" t="s">
        <v>1645</v>
      </c>
      <c r="D4" s="52">
        <v>5</v>
      </c>
      <c r="E4" s="52">
        <v>0</v>
      </c>
    </row>
    <row r="5" spans="1:5" x14ac:dyDescent="0.2">
      <c r="A5" s="52" t="s">
        <v>1138</v>
      </c>
      <c r="B5" s="57">
        <v>4</v>
      </c>
      <c r="C5" s="58" t="s">
        <v>1646</v>
      </c>
      <c r="D5" s="52">
        <v>5</v>
      </c>
      <c r="E5" s="52">
        <v>0</v>
      </c>
    </row>
    <row r="6" spans="1:5" x14ac:dyDescent="0.2">
      <c r="A6" s="52" t="s">
        <v>1138</v>
      </c>
      <c r="B6" s="57">
        <v>5</v>
      </c>
      <c r="C6" s="58" t="s">
        <v>1647</v>
      </c>
      <c r="D6" s="52">
        <v>3</v>
      </c>
      <c r="E6" s="52">
        <v>0</v>
      </c>
    </row>
    <row r="7" spans="1:5" x14ac:dyDescent="0.2">
      <c r="A7" s="52" t="s">
        <v>1138</v>
      </c>
      <c r="B7" s="57">
        <v>6</v>
      </c>
      <c r="C7" s="58" t="s">
        <v>1648</v>
      </c>
      <c r="D7" s="52">
        <v>5</v>
      </c>
      <c r="E7" s="52">
        <v>1</v>
      </c>
    </row>
    <row r="8" spans="1:5" x14ac:dyDescent="0.2">
      <c r="A8" s="52" t="s">
        <v>1138</v>
      </c>
      <c r="B8" s="57">
        <v>999</v>
      </c>
      <c r="C8" s="58" t="s">
        <v>1649</v>
      </c>
      <c r="D8" s="52">
        <v>5</v>
      </c>
      <c r="E8" s="5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4ED5-B753-449B-9AAD-F55AF2FA2102}">
  <dimension ref="A1:D19"/>
  <sheetViews>
    <sheetView workbookViewId="0">
      <selection activeCell="D19" sqref="D19"/>
    </sheetView>
  </sheetViews>
  <sheetFormatPr defaultColWidth="10.76171875" defaultRowHeight="15" x14ac:dyDescent="0.2"/>
  <cols>
    <col min="2" max="2" width="20.58203125" bestFit="1" customWidth="1"/>
    <col min="3" max="3" width="22.8671875" bestFit="1" customWidth="1"/>
  </cols>
  <sheetData>
    <row r="1" spans="1:4" x14ac:dyDescent="0.2">
      <c r="A1" s="2" t="s">
        <v>1116</v>
      </c>
      <c r="B1" s="2" t="s">
        <v>1627</v>
      </c>
      <c r="C1" s="2" t="s">
        <v>1146</v>
      </c>
      <c r="D1" s="2" t="s">
        <v>1148</v>
      </c>
    </row>
    <row r="2" spans="1:4" x14ac:dyDescent="0.2">
      <c r="A2" s="52" t="s">
        <v>1138</v>
      </c>
      <c r="B2" s="57">
        <v>10</v>
      </c>
      <c r="C2" s="58" t="s">
        <v>0</v>
      </c>
      <c r="D2" s="52">
        <v>3</v>
      </c>
    </row>
    <row r="3" spans="1:4" x14ac:dyDescent="0.2">
      <c r="A3" s="52" t="s">
        <v>1138</v>
      </c>
      <c r="B3" s="57">
        <v>20</v>
      </c>
      <c r="C3" s="58" t="s">
        <v>1621</v>
      </c>
      <c r="D3" s="52">
        <v>3</v>
      </c>
    </row>
    <row r="4" spans="1:4" x14ac:dyDescent="0.2">
      <c r="A4" s="52" t="s">
        <v>1138</v>
      </c>
      <c r="B4" s="57">
        <v>30</v>
      </c>
      <c r="C4" s="58" t="s">
        <v>1628</v>
      </c>
      <c r="D4" s="52">
        <v>3</v>
      </c>
    </row>
    <row r="5" spans="1:4" x14ac:dyDescent="0.2">
      <c r="A5" s="52" t="s">
        <v>1138</v>
      </c>
      <c r="B5" s="57">
        <v>40</v>
      </c>
      <c r="C5" s="58" t="s">
        <v>1629</v>
      </c>
      <c r="D5" s="52">
        <v>1</v>
      </c>
    </row>
    <row r="6" spans="1:4" x14ac:dyDescent="0.2">
      <c r="A6" s="52" t="s">
        <v>1138</v>
      </c>
      <c r="B6" s="57">
        <v>50</v>
      </c>
      <c r="C6" s="58" t="s">
        <v>2</v>
      </c>
      <c r="D6" s="52">
        <v>3</v>
      </c>
    </row>
    <row r="7" spans="1:4" x14ac:dyDescent="0.2">
      <c r="A7" s="52" t="s">
        <v>1138</v>
      </c>
      <c r="B7" s="57">
        <v>60</v>
      </c>
      <c r="C7" s="58" t="s">
        <v>6</v>
      </c>
      <c r="D7" s="52">
        <v>3</v>
      </c>
    </row>
    <row r="8" spans="1:4" x14ac:dyDescent="0.2">
      <c r="A8" s="52" t="s">
        <v>1138</v>
      </c>
      <c r="B8" s="57">
        <v>70</v>
      </c>
      <c r="C8" s="58" t="s">
        <v>1630</v>
      </c>
      <c r="D8" s="52">
        <v>3</v>
      </c>
    </row>
    <row r="9" spans="1:4" x14ac:dyDescent="0.2">
      <c r="A9" s="52" t="s">
        <v>1138</v>
      </c>
      <c r="B9" s="57">
        <v>80</v>
      </c>
      <c r="C9" s="58" t="s">
        <v>1631</v>
      </c>
      <c r="D9" s="52">
        <v>5</v>
      </c>
    </row>
    <row r="10" spans="1:4" x14ac:dyDescent="0.2">
      <c r="A10" s="52" t="s">
        <v>1138</v>
      </c>
      <c r="B10" s="57">
        <v>90</v>
      </c>
      <c r="C10" s="58" t="s">
        <v>1632</v>
      </c>
      <c r="D10" s="52">
        <v>5</v>
      </c>
    </row>
    <row r="11" spans="1:4" x14ac:dyDescent="0.2">
      <c r="A11" s="52" t="s">
        <v>1138</v>
      </c>
      <c r="B11" s="57">
        <v>100</v>
      </c>
      <c r="C11" s="58" t="s">
        <v>1633</v>
      </c>
      <c r="D11" s="52">
        <v>5</v>
      </c>
    </row>
    <row r="12" spans="1:4" x14ac:dyDescent="0.2">
      <c r="A12" s="52" t="s">
        <v>1138</v>
      </c>
      <c r="B12" s="57">
        <v>110</v>
      </c>
      <c r="C12" s="58" t="s">
        <v>1634</v>
      </c>
      <c r="D12" s="52">
        <v>5</v>
      </c>
    </row>
    <row r="13" spans="1:4" x14ac:dyDescent="0.2">
      <c r="A13" s="52" t="s">
        <v>1138</v>
      </c>
      <c r="B13" s="57">
        <v>120</v>
      </c>
      <c r="C13" s="58" t="s">
        <v>1635</v>
      </c>
      <c r="D13" s="52">
        <v>5</v>
      </c>
    </row>
    <row r="14" spans="1:4" x14ac:dyDescent="0.2">
      <c r="A14" s="52" t="s">
        <v>1138</v>
      </c>
      <c r="B14" s="57">
        <v>130</v>
      </c>
      <c r="C14" s="58" t="s">
        <v>1636</v>
      </c>
      <c r="D14" s="52">
        <v>5</v>
      </c>
    </row>
    <row r="15" spans="1:4" x14ac:dyDescent="0.2">
      <c r="A15" s="52" t="s">
        <v>1138</v>
      </c>
      <c r="B15" s="57">
        <v>140</v>
      </c>
      <c r="C15" s="58" t="s">
        <v>1637</v>
      </c>
      <c r="D15" s="52">
        <v>5</v>
      </c>
    </row>
    <row r="16" spans="1:4" x14ac:dyDescent="0.2">
      <c r="A16" s="52" t="s">
        <v>1138</v>
      </c>
      <c r="B16" s="57">
        <v>150</v>
      </c>
      <c r="C16" s="58" t="s">
        <v>1638</v>
      </c>
      <c r="D16" s="52">
        <v>5</v>
      </c>
    </row>
    <row r="17" spans="1:4" x14ac:dyDescent="0.2">
      <c r="A17" s="52" t="s">
        <v>1138</v>
      </c>
      <c r="B17" s="57">
        <v>160</v>
      </c>
      <c r="C17" s="58" t="s">
        <v>1639</v>
      </c>
      <c r="D17" s="52">
        <v>5</v>
      </c>
    </row>
    <row r="18" spans="1:4" x14ac:dyDescent="0.2">
      <c r="A18" s="52" t="s">
        <v>1138</v>
      </c>
      <c r="B18" s="61">
        <v>170</v>
      </c>
      <c r="C18" s="59" t="s">
        <v>1641</v>
      </c>
      <c r="D18" s="60">
        <v>3</v>
      </c>
    </row>
    <row r="19" spans="1:4" x14ac:dyDescent="0.2">
      <c r="A19" s="52" t="s">
        <v>1138</v>
      </c>
      <c r="B19" s="57">
        <v>999</v>
      </c>
      <c r="C19" s="58" t="s">
        <v>1640</v>
      </c>
      <c r="D19" s="52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CE91-54E9-4B6B-9188-4DC866180503}">
  <dimension ref="A1:C5"/>
  <sheetViews>
    <sheetView workbookViewId="0">
      <selection sqref="A1:C1"/>
    </sheetView>
  </sheetViews>
  <sheetFormatPr defaultColWidth="10.76171875" defaultRowHeight="15" x14ac:dyDescent="0.2"/>
  <cols>
    <col min="2" max="2" width="20.04296875" customWidth="1"/>
  </cols>
  <sheetData>
    <row r="1" spans="1:3" x14ac:dyDescent="0.2">
      <c r="A1" s="2" t="s">
        <v>1116</v>
      </c>
      <c r="B1" s="2" t="s">
        <v>1624</v>
      </c>
      <c r="C1" s="2" t="s">
        <v>1148</v>
      </c>
    </row>
    <row r="2" spans="1:3" x14ac:dyDescent="0.2">
      <c r="A2" s="51" t="s">
        <v>1138</v>
      </c>
      <c r="B2" t="s">
        <v>4</v>
      </c>
      <c r="C2" s="51">
        <v>5</v>
      </c>
    </row>
    <row r="3" spans="1:3" x14ac:dyDescent="0.2">
      <c r="A3" s="51" t="s">
        <v>1138</v>
      </c>
      <c r="B3" t="s">
        <v>5</v>
      </c>
      <c r="C3" s="51">
        <v>3</v>
      </c>
    </row>
    <row r="4" spans="1:3" x14ac:dyDescent="0.2">
      <c r="A4" s="51" t="s">
        <v>1138</v>
      </c>
      <c r="B4" t="s">
        <v>1</v>
      </c>
      <c r="C4" s="51">
        <v>5</v>
      </c>
    </row>
    <row r="5" spans="1:3" x14ac:dyDescent="0.2">
      <c r="A5" s="51" t="s">
        <v>1138</v>
      </c>
      <c r="B5" t="s">
        <v>3</v>
      </c>
      <c r="C5" s="51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68E-54A4-4EB1-A9D4-87C1D569B357}">
  <dimension ref="A1:C4"/>
  <sheetViews>
    <sheetView workbookViewId="0">
      <selection sqref="A1:C3"/>
    </sheetView>
  </sheetViews>
  <sheetFormatPr defaultColWidth="10.76171875" defaultRowHeight="15" x14ac:dyDescent="0.2"/>
  <cols>
    <col min="2" max="2" width="23.40625" customWidth="1"/>
  </cols>
  <sheetData>
    <row r="1" spans="1:3" x14ac:dyDescent="0.2">
      <c r="A1" s="2" t="s">
        <v>1116</v>
      </c>
      <c r="B1" s="2" t="s">
        <v>1141</v>
      </c>
      <c r="C1" s="2" t="s">
        <v>1148</v>
      </c>
    </row>
    <row r="2" spans="1:3" x14ac:dyDescent="0.2">
      <c r="A2" t="s">
        <v>1138</v>
      </c>
      <c r="B2" t="s">
        <v>1626</v>
      </c>
      <c r="C2">
        <v>5</v>
      </c>
    </row>
    <row r="4" spans="1:3" x14ac:dyDescent="0.2">
      <c r="A4" t="s">
        <v>1625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16A5-A521-4558-A510-F8B2A1F6D9D6}">
  <dimension ref="A1:C5"/>
  <sheetViews>
    <sheetView workbookViewId="0">
      <selection activeCell="E4" sqref="E4"/>
    </sheetView>
  </sheetViews>
  <sheetFormatPr defaultColWidth="10.76171875" defaultRowHeight="15" x14ac:dyDescent="0.2"/>
  <cols>
    <col min="1" max="1" width="19.63671875" customWidth="1"/>
    <col min="2" max="2" width="21.7890625" customWidth="1"/>
  </cols>
  <sheetData>
    <row r="1" spans="1:3" x14ac:dyDescent="0.2">
      <c r="A1" s="68" t="s">
        <v>1116</v>
      </c>
      <c r="B1" s="68" t="s">
        <v>1653</v>
      </c>
      <c r="C1" s="68" t="s">
        <v>1148</v>
      </c>
    </row>
    <row r="2" spans="1:3" x14ac:dyDescent="0.2">
      <c r="A2" s="69" t="s">
        <v>1138</v>
      </c>
      <c r="B2" s="70" t="s">
        <v>1654</v>
      </c>
      <c r="C2" s="71">
        <v>5</v>
      </c>
    </row>
    <row r="3" spans="1:3" x14ac:dyDescent="0.2">
      <c r="A3" s="69" t="s">
        <v>1138</v>
      </c>
      <c r="B3" s="70" t="s">
        <v>1655</v>
      </c>
      <c r="C3" s="71">
        <v>3</v>
      </c>
    </row>
    <row r="4" spans="1:3" x14ac:dyDescent="0.2">
      <c r="A4" s="69" t="s">
        <v>1138</v>
      </c>
      <c r="B4" s="70" t="s">
        <v>1656</v>
      </c>
      <c r="C4" s="71">
        <v>1</v>
      </c>
    </row>
    <row r="5" spans="1:3" x14ac:dyDescent="0.2">
      <c r="A5" s="69" t="s">
        <v>1138</v>
      </c>
      <c r="B5" s="70" t="s">
        <v>1657</v>
      </c>
      <c r="C5" s="7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EC7A1C3A458D439FE658104F6C8B60" ma:contentTypeVersion="3" ma:contentTypeDescription="Crear nuevo documento." ma:contentTypeScope="" ma:versionID="cecaaf86f6c22854208af0c142565de0">
  <xsd:schema xmlns:xsd="http://www.w3.org/2001/XMLSchema" xmlns:xs="http://www.w3.org/2001/XMLSchema" xmlns:p="http://schemas.microsoft.com/office/2006/metadata/properties" xmlns:ns2="10a7f040-96eb-4d07-ac7c-16f84a586467" targetNamespace="http://schemas.microsoft.com/office/2006/metadata/properties" ma:root="true" ma:fieldsID="ed65da79128bd78fbfd07728fa221749" ns2:_="">
    <xsd:import namespace="10a7f040-96eb-4d07-ac7c-16f84a5864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7f040-96eb-4d07-ac7c-16f84a586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F780BE-B60B-4112-8A1A-ADC98B5D6255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57FD3806-C23A-41F0-8DD2-0BB09009A7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D20131-1644-470F-8BB3-AB47D077AB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0a7f040-96eb-4d07-ac7c-16f84a586467"/>
  </ds:schemaRefs>
</ds:datastoreItem>
</file>

<file path=docMetadata/LabelInfo.xml><?xml version="1.0" encoding="utf-8"?>
<clbl:labelList xmlns:clbl="http://schemas.microsoft.com/office/2020/mipLabelMetadata">
  <clbl:label id="{8ff33436-4701-4dad-b7d3-3462e99c6889}" enabled="0" method="" siteId="{8ff33436-4701-4dad-b7d3-3462e99c68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CAMPOS MATRIZ</vt:lpstr>
      <vt:lpstr>TABLA DE PESOS Y VARIABLES</vt:lpstr>
      <vt:lpstr>TIPO_CLIENTE</vt:lpstr>
      <vt:lpstr>TIPO_DEBIDA_DILIGENCIA</vt:lpstr>
      <vt:lpstr>OCUPACION</vt:lpstr>
      <vt:lpstr>ACTIVIDAD_ECONOMICA</vt:lpstr>
      <vt:lpstr>SUJETO_OBLIGADO</vt:lpstr>
      <vt:lpstr>PEP</vt:lpstr>
      <vt:lpstr>LISTAS_BLOQUEANTES</vt:lpstr>
      <vt:lpstr>MONEDA</vt:lpstr>
      <vt:lpstr>PRODUCTO</vt:lpstr>
      <vt:lpstr>canal</vt:lpstr>
      <vt:lpstr>CANAL_VF</vt:lpstr>
      <vt:lpstr>TRANSACCIONALIDAD</vt:lpstr>
      <vt:lpstr>PAISES</vt:lpstr>
      <vt:lpstr>DEPARTAMENTOS</vt:lpstr>
      <vt:lpstr>TIPO_ENTIDAD</vt:lpstr>
      <vt:lpstr>TIPO_FORMA_JURIDICA</vt:lpstr>
      <vt:lpstr>TAMANO_PJ</vt:lpstr>
      <vt:lpstr>COMPLEJIDAD_PROPIEDAD</vt:lpstr>
      <vt:lpstr>LONGEVIDAD_COMPANIA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Aguilar Boronda</dc:creator>
  <cp:lastModifiedBy>De Leon, Claudia Magali</cp:lastModifiedBy>
  <dcterms:created xsi:type="dcterms:W3CDTF">2026-07-03T20:32:10Z</dcterms:created>
  <dcterms:modified xsi:type="dcterms:W3CDTF">2026-07-13T01:26:24Z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2026-07-03T20:44:18Z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b6fcf2be-a94a-431f-a9a4-64a9690d10cd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0x01010034EC7A1C3A458D439FE658104F6C8B60</vt:lpwstr>
  </property>
</Properties>
</file>